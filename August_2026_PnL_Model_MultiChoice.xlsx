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881adec49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 Hardware" sheetId="9" r:id="R088d47cc566e4169"/>
    <x:sheet xmlns:r="http://schemas.openxmlformats.org/officeDocument/2006/relationships" name="Assumptions" sheetId="1" r:id="Rc4f8d9c82fb4443d"/>
    <x:sheet xmlns:r="http://schemas.openxmlformats.org/officeDocument/2006/relationships" name="Sales Inputs" sheetId="2" r:id="R8e5bdb72de024b22"/>
    <x:sheet xmlns:r="http://schemas.openxmlformats.org/officeDocument/2006/relationships" name="Subscription Detail" sheetId="3" r:id="R8f3e37b438714e29"/>
    <x:sheet xmlns:r="http://schemas.openxmlformats.org/officeDocument/2006/relationships" name="Estimated PAD" sheetId="4" r:id="Rce2ccf68b759465f"/>
    <x:sheet xmlns:r="http://schemas.openxmlformats.org/officeDocument/2006/relationships" name="Current P&amp;L" sheetId="5" r:id="R899c4aac46d4491e"/>
    <x:sheet xmlns:r="http://schemas.openxmlformats.org/officeDocument/2006/relationships" name="P AND L MODEL" sheetId="6" r:id="Rf9bedafc395447a7"/>
    <x:sheet xmlns:r="http://schemas.openxmlformats.org/officeDocument/2006/relationships" name="Management Dashboard" sheetId="10" r:id="R117af598eeab4f7a"/>
  </x:sheets>
</x:workbook>
</file>

<file path=xl/sharedStrings.xml><?xml version="1.0" encoding="utf-8"?>
<x:sst xmlns:x="http://schemas.openxmlformats.org/spreadsheetml/2006/main">
  <x:si>
    <x:t xml:space="preserve">PartnerID</x:t>
  </x:si>
  <x:si>
    <x:t xml:space="preserve">Partner Name</x:t>
  </x:si>
  <x:si>
    <x:t xml:space="preserve">DStv</x:t>
  </x:si>
  <x:si>
    <x:t xml:space="preserve">GOtv</x:t>
  </x:si>
  <x:si>
    <x:t xml:space="preserve">DStv Sales Value</x:t>
  </x:si>
  <x:si>
    <x:t xml:space="preserve">GOtv Sales Value</x:t>
  </x:si>
  <x:si>
    <x:t xml:space="preserve">Known Hardware Sales Value</x:t>
  </x:si>
  <x:si>
    <x:t xml:space="preserve">Matched Units</x:t>
  </x:si>
  <x:si>
    <x:t xml:space="preserve">Rahim electronics</x:t>
  </x:si>
  <x:si>
    <x:t xml:space="preserve">St. Impex Limited / Amir Bhai</x:t>
  </x:si>
  <x:si>
    <x:t xml:space="preserve">Ericom</x:t>
  </x:si>
  <x:si>
    <x:t xml:space="preserve">Nyanziqualityelectronics</x:t>
  </x:si>
  <x:si>
    <x:t xml:space="preserve">Assumption</x:t>
  </x:si>
  <x:si>
    <x:t xml:space="preserve">Value</x:t>
  </x:si>
  <x:si>
    <x:t xml:space="preserve">Description</x:t>
  </x:si>
  <x:si>
    <x:t xml:space="preserve">DStv Hardware Value</x:t>
  </x:si>
  <x:si>
    <x:t xml:space="preserve">Revenue value per DStv decoder</x:t>
  </x:si>
  <x:si>
    <x:t xml:space="preserve">GOtv Hardware Value</x:t>
  </x:si>
  <x:si>
    <x:t xml:space="preserve">Revenue value per GOtv decoder</x:t>
  </x:si>
  <x:si>
    <x:t xml:space="preserve">Hardware Commission per Unit</x:t>
  </x:si>
  <x:si>
    <x:t xml:space="preserve">Commission paid per hardware unit</x:t>
  </x:si>
  <x:si>
    <x:t xml:space="preserve">Mega Dealer Subscription Commission</x:t>
  </x:si>
  <x:si>
    <x:t xml:space="preserve">Mega Dealer subscription commission rate</x:t>
  </x:si>
  <x:si>
    <x:t xml:space="preserve">POS Subscription Commission</x:t>
  </x:si>
  <x:si>
    <x:t xml:space="preserve">POS subscription commission rate</x:t>
  </x:si>
  <x:si>
    <x:t xml:space="preserve">Performance Sales Target</x:t>
  </x:si>
  <x:si>
    <x:t xml:space="preserve">Minimum decoder sales required to qualify</x:t>
  </x:si>
  <x:si>
    <x:t xml:space="preserve">Performance Incentive Rate</x:t>
  </x:si>
  <x:si>
    <x:t xml:space="preserve">Incentive rate on qualifying hardware sales</x:t>
  </x:si>
  <x:si>
    <x:t xml:space="preserve">New POS Target Rate</x:t>
  </x:si>
  <x:si>
    <x:t xml:space="preserve">Assumed new POS acquisition rate</x:t>
  </x:si>
  <x:si>
    <x:t xml:space="preserve">New POS Incentive</x:t>
  </x:si>
  <x:si>
    <x:t xml:space="preserve">Incentive paid per new POS</x:t>
  </x:si>
  <x:si>
    <x:t xml:space="preserve">Stock Collection Fee per Unit</x:t>
  </x:si>
  <x:si>
    <x:t xml:space="preserve">Stock collection cost per unit</x:t>
  </x:si>
  <x:si>
    <x:t xml:space="preserve">Mega Dealer Renewable Incentive</x:t>
  </x:si>
  <x:si>
    <x:t xml:space="preserve">Proposed Mega Dealer renewable incentive</x:t>
  </x:si>
  <x:si>
    <x:t xml:space="preserve">Metric</x:t>
  </x:si>
  <x:si>
    <x:t xml:space="preserve">DStv Units</x:t>
  </x:si>
  <x:si>
    <x:t xml:space="preserve">GOtv Units</x:t>
  </x:si>
  <x:si>
    <x:t xml:space="preserve">Total Hardware Units</x:t>
  </x:si>
  <x:si>
    <x:t xml:space="preserve">Classified Subscription Revenue</x:t>
  </x:si>
  <x:si>
    <x:t xml:space="preserve">Estimated Ungrouped PAD Revenue</x:t>
  </x:si>
  <x:si>
    <x:t xml:space="preserve">Active Partner Base</x:t>
  </x:si>
  <x:si>
    <x:t xml:space="preserve">ICX Brand</x:t>
  </x:si>
  <x:si>
    <x:t xml:space="preserve">ICX Product Group</x:t>
  </x:si>
  <x:si>
    <x:t xml:space="preserve">Rate Card</x:t>
  </x:si>
  <x:si>
    <x:t xml:space="preserve">Sales Volume</x:t>
  </x:si>
  <x:si>
    <x:t xml:space="preserve">Revenue</x:t>
  </x:si>
  <x:si>
    <x:t xml:space="preserve">Mega Dealer Commission</x:t>
  </x:si>
  <x:si>
    <x:t xml:space="preserve">POS Commission</x:t>
  </x:si>
  <x:si>
    <x:t xml:space="preserve">Total Subscription Commission</x:t>
  </x:si>
  <x:si>
    <x:t xml:space="preserve">Access</x:t>
  </x:si>
  <x:si>
    <x:t xml:space="preserve">Compact</x:t>
  </x:si>
  <x:si>
    <x:t xml:space="preserve">Compact Plus</x:t>
  </x:si>
  <x:si>
    <x:t xml:space="preserve">DStv Play Essential</x:t>
  </x:si>
  <x:si>
    <x:t xml:space="preserve">DStv Stay Ultra</x:t>
  </x:si>
  <x:si>
    <x:t xml:space="preserve">Family</x:t>
  </x:si>
  <x:si>
    <x:t xml:space="preserve">Lite</x:t>
  </x:si>
  <x:si>
    <x:t xml:space="preserve">Premium</x:t>
  </x:si>
  <x:si>
    <x:t xml:space="preserve">GOtv Lite</x:t>
  </x:si>
  <x:si>
    <x:t xml:space="preserve">GOtv Max</x:t>
  </x:si>
  <x:si>
    <x:t xml:space="preserve">GOtv Plus</x:t>
  </x:si>
  <x:si>
    <x:t xml:space="preserve">GOtv Supa</x:t>
  </x:si>
  <x:si>
    <x:t xml:space="preserve">GOtv Supa Plus</x:t>
  </x:si>
  <x:si>
    <x:t xml:space="preserve">GOtv Value</x:t>
  </x:si>
  <x:si>
    <x:t xml:space="preserve">ICX Brand_stock</x:t>
  </x:si>
  <x:si>
    <x:t xml:space="preserve">Matched Sales</x:t>
  </x:si>
  <x:si>
    <x:t xml:space="preserve">Package Share</x:t>
  </x:si>
  <x:si>
    <x:t xml:space="preserve">Estimated Ungrouped Sales</x:t>
  </x:si>
  <x:si>
    <x:t xml:space="preserve">Estimated Revenue</x:t>
  </x:si>
  <x:si>
    <x:t xml:space="preserve">P&amp;L Item</x:t>
  </x:si>
  <x:si>
    <x:t xml:space="preserve">Amount (UGX)</x:t>
  </x:si>
  <x:si>
    <x:t xml:space="preserve">Subscription Revenue</x:t>
  </x:si>
  <x:si>
    <x:t xml:space="preserve">Hardware Revenue</x:t>
  </x:si>
  <x:si>
    <x:t xml:space="preserve">TOTAL REVENUE</x:t>
  </x:si>
  <x:si>
    <x:t xml:space="preserve">Hardware Commission</x:t>
  </x:si>
  <x:si>
    <x:t xml:space="preserve">Subscription Commission</x:t>
  </x:si>
  <x:si>
    <x:t xml:space="preserve">Performance Incentive</x:t>
  </x:si>
  <x:si>
    <x:t xml:space="preserve">Stock Collection Fee</x:t>
  </x:si>
  <x:si>
    <x:t xml:space="preserve">TOTAL COSTS - BASE CASE</x:t>
  </x:si>
  <x:si>
    <x:t xml:space="preserve">BASE CASE PROFIT</x:t>
  </x:si>
  <x:si>
    <x:t xml:space="preserve">Proposed Mega Dealer Renewable Incentive</x:t>
  </x:si>
  <x:si>
    <x:t xml:space="preserve">TOTAL COSTS - WITH INCENTIVE</x:t>
  </x:si>
  <x:si>
    <x:t xml:space="preserve">PROFIT AFTER INCENTIVE</x:t>
  </x:si>
  <x:si>
    <x:t xml:space="preserve">AUGUST 2026 P&amp;L MODEL</x:t>
  </x:si>
  <x:si>
    <x:t xml:space="preserve">REVENUE</x:t>
  </x:si>
  <x:si>
    <x:t xml:space="preserve">DStv Hardware Revenue</x:t>
  </x:si>
  <x:si>
    <x:t xml:space="preserve">GOtv Hardware Revenue</x:t>
  </x:si>
  <x:si>
    <x:t xml:space="preserve">Total Hardware Revenue</x:t>
  </x:si>
  <x:si>
    <x:t xml:space="preserve">COSTS</x:t>
  </x:si>
  <x:si>
    <x:t xml:space="preserve">TOTAL BASE COSTS</x:t>
  </x:si>
  <x:si>
    <x:t xml:space="preserve">PROFITABILITY</x:t>
  </x:si>
  <x:si>
    <x:t xml:space="preserve">Base Case Profit</x:t>
  </x:si>
  <x:si>
    <x:t xml:space="preserve">Base Case Profit Margin</x:t>
  </x:si>
  <x:si>
    <x:t xml:space="preserve">Total Costs With Incentive</x:t>
  </x:si>
  <x:si>
    <x:t xml:space="preserve">Profit After Incentive</x:t>
  </x:si>
  <x:si>
    <x:t xml:space="preserve">Profit Margin After Incentive</x:t>
  </x:si>
</x:sst>
</file>

<file path=xl/styles.xml><?xml version="1.0" encoding="utf-8"?>
<x:styleSheet xmlns:x="http://schemas.openxmlformats.org/spreadsheetml/2006/main">
  <x:numFmts count="5">
    <x:numFmt numFmtId="43" formatCode="_(* #,##0.00_);_(* \(#,##0.00\);_(* &quot;-&quot;??_);_(@_)"/>
    <x:numFmt numFmtId="200" formatCode="#,##0;[Red](#,##0);-"/>
    <x:numFmt numFmtId="201" formatCode="0.0%"/>
    <x:numFmt numFmtId="202" formatCode="0"/>
    <x:numFmt numFmtId="203" formatCode="0.00%"/>
  </x:numFmts>
  <x:fonts count="19">
    <x:font>
      <x:sz val="11"/>
      <x:color theme="1"/>
      <x:name val="Calibri"/>
    </x:font>
    <x:font>
      <x:b/>
      <x:sz val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666666"/>
      <x:name val="Calibri"/>
    </x:font>
    <x:font>
      <x:b/>
      <x:sz val="16"/>
      <x:color rgb="FFFFFFFF"/>
      <x:name val="Calibri"/>
    </x:font>
    <x:font>
      <x:sz val="11"/>
      <x:color rgb="FF008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1"/>
      <x:color rgb="FF17365D"/>
      <x:name val="Calibri"/>
    </x:font>
    <x:font>
      <x:b/>
      <x:sz val="15"/>
      <x:color rgb="FF008000"/>
      <x:name val="Calibri"/>
    </x:font>
    <x:font>
      <x:b/>
      <x:sz val="18"/>
      <x:color rgb="FFFFFFFF"/>
      <x:name val="Calibri"/>
    </x:font>
    <x:font>
      <x:i/>
      <x:sz val="10"/>
      <x:color rgb="FFFFFFFF"/>
      <x:name val="Calibri"/>
    </x:font>
    <x:font>
      <x:b/>
      <x:sz val="15"/>
      <x:color rgb="FF102A5C"/>
      <x:name val="Calibri"/>
    </x:font>
    <x:font>
      <x:sz val="11"/>
      <x:color rgb="FF1F2937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02A5C"/>
      </x:patternFill>
    </x:fill>
    <x:fill>
      <x:patternFill patternType="solid">
        <x:fgColor rgb="FF00A7D8"/>
      </x:patternFill>
    </x:fill>
    <x:fill>
      <x:patternFill patternType="solid">
        <x:fgColor rgb="FFF4F7FB"/>
      </x:patternFill>
    </x:fill>
    <x:fill>
      <x:patternFill patternType="solid">
        <x:fgColor rgb="FFF28C28"/>
      </x:patternFill>
    </x:fill>
    <x:fill>
      <x:patternFill patternType="solid">
        <x:fgColor rgb="FF58B957"/>
      </x:patternFill>
    </x:fill>
    <x:fill>
      <x:patternFill patternType="solid">
        <x:fgColor rgb="FF6A3D9A"/>
      </x:patternFill>
    </x:fill>
    <x:fill>
      <x:patternFill patternType="solid">
        <x:fgColor rgb="FFD41473"/>
      </x:patternFill>
    </x:fill>
    <x:fill>
      <x:patternFill patternType="solid">
        <x:fgColor rgb="FFE6333A"/>
      </x:patternFill>
    </x:fill>
    <x:fill>
      <x:patternFill patternType="solid">
        <x:fgColor rgb="FFFCE8F2"/>
      </x:patternFill>
    </x:fill>
    <x:fill>
      <x:patternFill patternType="solid">
        <x:fgColor rgb="FFF4C542"/>
      </x:patternFill>
    </x:fill>
    <x:fill>
      <x:patternFill patternType="solid">
        <x:fgColor rgb="FFE8F5E9"/>
      </x:patternFill>
    </x:fill>
    <x:fill>
      <x:patternFill patternType="solid">
        <x:fgColor rgb="FFFFF6D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00A7D8"/>
      </x:bottom>
    </x:border>
    <x:border>
      <x:bottom style="thin">
        <x:color rgb="FFF28C28"/>
      </x:bottom>
    </x:border>
    <x:border>
      <x:bottom style="thin">
        <x:color rgb="FF58B957"/>
      </x:bottom>
    </x:border>
    <x:border>
      <x:bottom style="thin">
        <x:color rgb="FF6A3D9A"/>
      </x:bottom>
    </x:border>
  </x:borders>
  <x:cellStyleXfs count="3">
    <x:xf numFmtId="0" fontId="0" fillId="0" borderId="0"/>
    <x:xf numFmtId="43" fontId="2" fillId="0" borderId="0" applyFont="0" applyFill="0" applyBorder="0" applyAlignment="0" applyProtection="0"/>
    <x:xf numFmtId="9" fontId="2" fillId="0" borderId="0" applyFont="0" applyFill="0" applyBorder="0" applyAlignment="0" applyProtection="0"/>
  </x:cellStyleXfs>
  <x:cellXfs count="295">
    <x:xf numFmtId="0" fontId="0" fillId="0" borderId="0" xfId="0"/>
    <x:xf numFmtId="0" fontId="1" fillId="0" borderId="1" xfId="0" applyFont="1" applyBorder="1" applyAlignment="1">
      <x:alignment horizontal="center" vertical="top"/>
    </x:xf>
    <x:xf numFmtId="43" fontId="1" fillId="0" borderId="1" xfId="1" applyFont="1" applyBorder="1" applyAlignment="1">
      <x:alignment horizontal="center" vertical="top"/>
    </x:xf>
    <x:xf numFmtId="43" fontId="0" fillId="0" borderId="0" xfId="1" applyFont="1"/>
    <x:xf numFmtId="0" fontId="0" fillId="0" borderId="0" xfId="0" applyFont="1"/>
    <x:xf numFmtId="0" fontId="4" fillId="0" borderId="1" xfId="0" applyFont="1" applyBorder="1" applyAlignment="1">
      <x:alignment horizontal="center" vertical="top"/>
    </x:xf>
    <x:xf numFmtId="43" fontId="4" fillId="0" borderId="1" xfId="1" applyFont="1" applyBorder="1" applyAlignment="1">
      <x:alignment horizontal="center" vertical="top"/>
    </x:xf>
    <x:xf numFmtId="0" fontId="3" fillId="0" borderId="0" xfId="0" applyFont="1"/>
    <x:xf numFmtId="0" fontId="0" fillId="0" borderId="0" xfId="0" applyAlignment="1">
      <x:alignment vertical="center" wrapText="1"/>
    </x:xf>
    <x:xf numFmtId="0" fontId="3" fillId="0" borderId="0" xfId="0" applyFont="1" applyAlignment="1"/>
    <x:xf numFmtId="43" fontId="0" fillId="0" borderId="0" xfId="0" applyNumberFormat="1"/>
    <x:xf numFmtId="9" fontId="0" fillId="0" borderId="0" xfId="2" applyFont="1"/>
    <x:xf numFmtId="43" fontId="0" fillId="2" borderId="0" xfId="1" applyFont="1" applyFill="1"/>
    <x:xf numFmtId="9" fontId="0" fillId="2" borderId="0" xfId="2" applyFont="1" applyFill="1"/>
    <x:xf numFmtId="43" fontId="4" fillId="2" borderId="1" xfId="1" applyFont="1" applyFill="1" applyBorder="1" applyAlignment="1">
      <x:alignment horizontal="center" vertical="top"/>
    </x:xf>
    <x:xf numFmtId="0" fontId="5" fillId="0" borderId="0" xfId="0" applyFon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43" fontId="1" fillId="0" borderId="3" xfId="0" applyNumberFormat="1" applyFont="1" applyFill="1" applyBorder="1" applyAlignment="1">
      <x:alignment horizontal="center" vertical="top"/>
    </x:xf>
    <x:xf numFmtId="43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 wrapText="1"/>
    </x:xf>
    <x:xf numFmtId="9" fontId="0" fillId="0" borderId="2" xfId="0" applyNumberFormat="1" applyFont="1" applyFill="1" applyBorder="1"/>
    <x:xf numFmtId="43" fontId="0" fillId="2" borderId="2" xfId="0" applyNumberFormat="1" applyFont="1" applyFill="1" applyBorder="1"/>
    <x:xf numFmtId="9" fontId="0" fillId="2" borderId="2" xfId="0" applyNumberFormat="1" applyFont="1" applyFill="1" applyBorder="1"/>
    <x:xf numFmtId="43" fontId="1" fillId="2" borderId="3" xfId="0" applyNumberFormat="1" applyFont="1" applyFill="1" applyBorder="1" applyAlignment="1">
      <x:alignment horizontal="center" vertical="top"/>
    </x:xf>
    <x:xf numFmtId="0" fontId="1" fillId="0" borderId="2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top"/>
    </x:xf>
    <x:xf numFmtId="43" fontId="1" fillId="3" borderId="1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top"/>
    </x:xf>
    <x:xf numFmtId="43" fontId="6" fillId="3" borderId="1" xfId="0" applyNumberFormat="1" applyFont="1" applyFill="1" applyBorder="1" applyAlignment="1">
      <x:alignment horizontal="center" vertical="top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43" fontId="6" fillId="3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top"/>
    </x:xf>
    <x:xf numFmtId="43" fontId="1" fillId="3" borderId="3" xfId="0" applyNumberFormat="1" applyFont="1" applyFill="1" applyBorder="1" applyAlignment="1">
      <x:alignment horizontal="center" vertical="top"/>
    </x:xf>
    <x:xf numFmtId="0" fontId="1" fillId="3" borderId="2" xfId="0" applyNumberFormat="1" applyFont="1" applyFill="1" applyBorder="1"/>
    <x:xf numFmtId="0" fontId="6" fillId="3" borderId="3" xfId="0" applyNumberFormat="1" applyFont="1" applyFill="1" applyBorder="1" applyAlignment="1">
      <x:alignment horizontal="center" vertical="top"/>
    </x:xf>
    <x:xf numFmtId="43" fontId="6" fillId="3" borderId="3" xfId="0" applyNumberFormat="1" applyFont="1" applyFill="1" applyBorder="1" applyAlignment="1">
      <x:alignment horizontal="center" vertical="top"/>
    </x:xf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 vertical="center"/>
    </x:xf>
    <x:xf numFmtId="43" fontId="6" fillId="3" borderId="3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/>
    </x:xf>
    <x:xf numFmtId="43" fontId="0" fillId="4" borderId="0" xfId="0" applyNumberFormat="1" applyFont="1" applyFill="1" applyBorder="1"/>
    <x:xf numFmtId="9" fontId="0" fillId="4" borderId="0" xfId="0" applyNumberFormat="1" applyFont="1" applyFill="1" applyBorder="1"/>
    <x:xf numFmtId="43" fontId="7" fillId="4" borderId="0" xfId="0" applyNumberFormat="1" applyFont="1" applyFill="1" applyBorder="1"/>
    <x:xf numFmtId="9" fontId="7" fillId="4" borderId="0" xfId="0" applyNumberFormat="1" applyFont="1" applyFill="1" applyBorder="1"/>
    <x:xf numFmtId="43" fontId="7" fillId="4" borderId="0" xfId="0" applyNumberFormat="1" applyFont="1" applyFill="1" applyBorder="1" applyAlignment="1">
      <x:alignment horizontal="right"/>
    </x:xf>
    <x:xf numFmtId="9" fontId="7" fillId="4" borderId="0" xfId="0" applyNumberFormat="1" applyFont="1" applyFill="1" applyBorder="1" applyAlignment="1">
      <x:alignment horizontal="right"/>
    </x:xf>
    <x:xf numFmtId="43" fontId="0" fillId="4" borderId="2" xfId="0" applyNumberFormat="1" applyFont="1" applyFill="1" applyBorder="1"/>
    <x:xf numFmtId="9" fontId="0" fillId="4" borderId="2" xfId="0" applyNumberFormat="1" applyFont="1" applyFill="1" applyBorder="1"/>
    <x:xf numFmtId="43" fontId="7" fillId="4" borderId="2" xfId="0" applyNumberFormat="1" applyFont="1" applyFill="1" applyBorder="1"/>
    <x:xf numFmtId="9" fontId="7" fillId="4" borderId="2" xfId="0" applyNumberFormat="1" applyFont="1" applyFill="1" applyBorder="1"/>
    <x:xf numFmtId="43" fontId="7" fillId="4" borderId="2" xfId="0" applyNumberFormat="1" applyFont="1" applyFill="1" applyBorder="1" applyAlignment="1">
      <x:alignment horizontal="right"/>
    </x:xf>
    <x:xf numFmtId="9" fontId="7" fillId="4" borderId="2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200" fontId="7" fillId="4" borderId="0" xfId="0" applyNumberFormat="1" applyFont="1" applyFill="1" applyBorder="1" applyAlignment="1">
      <x:alignment horizontal="right"/>
    </x:xf>
    <x:xf numFmtId="200" fontId="7" fillId="4" borderId="2" xfId="0" applyNumberFormat="1" applyFont="1" applyFill="1" applyBorder="1" applyAlignment="1">
      <x:alignment horizontal="right"/>
    </x:xf>
    <x:xf numFmtId="201" fontId="7" fillId="4" borderId="0" xfId="0" applyNumberFormat="1" applyFont="1" applyFill="1" applyBorder="1" applyAlignment="1">
      <x:alignment horizontal="right"/>
    </x:xf>
    <x:xf numFmtId="201" fontId="7" fillId="4" borderId="2" xfId="0" applyNumberFormat="1" applyFont="1" applyFill="1" applyBorder="1" applyAlignment="1">
      <x:alignment horizontal="right"/>
    </x:xf>
    <x:xf numFmtId="202" fontId="7" fillId="4" borderId="0" xfId="0" applyNumberFormat="1" applyFont="1" applyFill="1" applyBorder="1" applyAlignment="1">
      <x:alignment horizontal="right"/>
    </x:xf>
    <x:xf numFmtId="202" fontId="7" fillId="4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left"/>
    </x:xf>
    <x:xf numFmtId="0" fontId="9" fillId="3" borderId="0" xfId="0" applyNumberFormat="1" applyFont="1" applyFill="1" applyBorder="1" applyAlignment="1">
      <x:alignment horizontal="left" vertical="center"/>
    </x:xf>
    <x:xf numFmtId="0" fontId="3" fillId="3" borderId="2" xfId="0" applyNumberFormat="1" applyFont="1" applyFill="1" applyBorder="1"/>
    <x:xf numFmtId="0" fontId="9" fillId="3" borderId="2" xfId="0" applyNumberFormat="1" applyFont="1" applyFill="1" applyBorder="1"/>
    <x:xf numFmtId="0" fontId="9" fillId="3" borderId="2" xfId="0" applyNumberFormat="1" applyFont="1" applyFill="1" applyBorder="1" applyAlignment="1">
      <x:alignment horizontal="left"/>
    </x:xf>
    <x:xf numFmtId="0" fontId="9" fillId="3" borderId="2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left"/>
    </x:xf>
    <x:xf numFmtId="0" fontId="6" fillId="3" borderId="2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6" fillId="3" borderId="0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/>
    <x:xf numFmtId="200" fontId="6" fillId="3" borderId="2" xfId="0" applyNumberFormat="1" applyFont="1" applyFill="1" applyBorder="1" applyAlignment="1">
      <x:alignment horizontal="left"/>
    </x:xf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200" fontId="10" fillId="0" borderId="0" xfId="0" applyNumberFormat="1" applyFont="1" applyFill="1" applyBorder="1"/>
    <x:xf numFmtId="200" fontId="10" fillId="0" borderId="2" xfId="0" applyNumberFormat="1" applyFont="1" applyFill="1" applyBorder="1"/>
    <x:xf numFmtId="200" fontId="11" fillId="0" borderId="0" xfId="0" applyNumberFormat="1" applyFont="1" applyFill="1" applyBorder="1"/>
    <x:xf numFmtId="200" fontId="11" fillId="0" borderId="2" xfId="0" applyNumberFormat="1" applyFont="1" applyFill="1" applyBorder="1"/>
    <x:xf numFmtId="203" fontId="11" fillId="0" borderId="0" xfId="0" applyNumberFormat="1" applyFont="1" applyFill="1" applyBorder="1"/>
    <x:xf numFmtId="203" fontId="11" fillId="0" borderId="2" xfId="0" applyNumberFormat="1" applyFont="1" applyFill="1" applyBorder="1"/>
    <x:xf numFmtId="0" fontId="3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2" xfId="0" applyNumberFormat="1" applyFont="1" applyFill="1" applyBorder="1"/>
    <x:xf numFmtId="203" fontId="12" fillId="0" borderId="0" xfId="0" applyNumberFormat="1" applyFont="1" applyFill="1" applyBorder="1"/>
    <x:xf numFmtId="203" fontId="12" fillId="0" borderId="2" xfId="0" applyNumberFormat="1" applyFont="1" applyFill="1" applyBorder="1"/>
    <x:xf numFmtId="0" fontId="3" fillId="0" borderId="4" xfId="0" applyNumberFormat="1" applyFont="1" applyFill="1" applyBorder="1"/>
    <x:xf numFmtId="200" fontId="12" fillId="0" borderId="4" xfId="0" applyNumberFormat="1" applyFont="1" applyFill="1" applyBorder="1"/>
    <x:xf numFmtId="0" fontId="3" fillId="0" borderId="5" xfId="0" applyNumberFormat="1" applyFont="1" applyFill="1" applyBorder="1"/>
    <x:xf numFmtId="200" fontId="12" fillId="0" borderId="5" xfId="0" applyNumberFormat="1" applyFont="1" applyFill="1" applyBorder="1"/>
    <x:xf numFmtId="0" fontId="3" fillId="6" borderId="0" xfId="0" applyNumberFormat="1" applyFont="1" applyFill="1" applyBorder="1"/>
    <x:xf numFmtId="200" fontId="12" fillId="6" borderId="0" xfId="0" applyNumberFormat="1" applyFont="1" applyFill="1" applyBorder="1"/>
    <x:xf numFmtId="203" fontId="12" fillId="6" borderId="0" xfId="0" applyNumberFormat="1" applyFont="1" applyFill="1" applyBorder="1"/>
    <x:xf numFmtId="0" fontId="3" fillId="6" borderId="2" xfId="0" applyNumberFormat="1" applyFont="1" applyFill="1" applyBorder="1"/>
    <x:xf numFmtId="200" fontId="12" fillId="6" borderId="2" xfId="0" applyNumberFormat="1" applyFont="1" applyFill="1" applyBorder="1"/>
    <x:xf numFmtId="203" fontId="12" fillId="6" borderId="2" xfId="0" applyNumberFormat="1" applyFont="1" applyFill="1" applyBorder="1"/>
    <x:xf numFmtId="0" fontId="0" fillId="7" borderId="0" xfId="0" applyNumberFormat="1" applyFont="1" applyFill="1" applyBorder="1"/>
    <x:xf numFmtId="200" fontId="10" fillId="7" borderId="0" xfId="0" applyNumberFormat="1" applyFont="1" applyFill="1" applyBorder="1"/>
    <x:xf numFmtId="0" fontId="0" fillId="7" borderId="2" xfId="0" applyNumberFormat="1" applyFont="1" applyFill="1" applyBorder="1"/>
    <x:xf numFmtId="200" fontId="10" fillId="7" borderId="2" xfId="0" applyNumberFormat="1" applyFont="1" applyFill="1" applyBorder="1"/>
    <x:xf numFmtId="0" fontId="3" fillId="4" borderId="0" xfId="0" applyNumberFormat="1" applyFont="1" applyFill="1" applyBorder="1"/>
    <x:xf numFmtId="200" fontId="12" fillId="4" borderId="0" xfId="0" applyNumberFormat="1" applyFont="1" applyFill="1" applyBorder="1"/>
    <x:xf numFmtId="203" fontId="12" fillId="4" borderId="0" xfId="0" applyNumberFormat="1" applyFont="1" applyFill="1" applyBorder="1"/>
    <x:xf numFmtId="0" fontId="3" fillId="4" borderId="2" xfId="0" applyNumberFormat="1" applyFont="1" applyFill="1" applyBorder="1"/>
    <x:xf numFmtId="200" fontId="12" fillId="4" borderId="2" xfId="0" applyNumberFormat="1" applyFont="1" applyFill="1" applyBorder="1"/>
    <x:xf numFmtId="203" fontId="12" fillId="4" borderId="2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2" xfId="0" applyNumberFormat="1" applyFont="1" applyFill="1" applyBorder="1" applyAlignment="1">
      <x:alignment horizont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0" fillId="8" borderId="2" xfId="0" applyNumberFormat="1" applyFont="1" applyFill="1" applyBorder="1"/>
    <x:xf numFmtId="0" fontId="13" fillId="8" borderId="2" xfId="0" applyNumberFormat="1" applyFont="1" applyFill="1" applyBorder="1"/>
    <x:xf numFmtId="0" fontId="13" fillId="8" borderId="2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200" fontId="14" fillId="0" borderId="0" xfId="0" applyNumberFormat="1" applyFont="1" applyFill="1" applyBorder="1" applyAlignment="1">
      <x:alignment horizontal="center"/>
    </x:xf>
    <x:xf numFmtId="200" fontId="14" fillId="0" borderId="0" xfId="0" applyNumberFormat="1" applyFont="1" applyFill="1" applyBorder="1" applyAlignment="1">
      <x:alignment horizontal="center" vertical="center"/>
    </x:xf>
    <x:xf numFmtId="0" fontId="14" fillId="0" borderId="2" xfId="0" applyNumberFormat="1" applyFont="1" applyFill="1" applyBorder="1"/>
    <x:xf numFmtId="200" fontId="14" fillId="0" borderId="2" xfId="0" applyNumberFormat="1" applyFont="1" applyFill="1" applyBorder="1"/>
    <x:xf numFmtId="200" fontId="14" fillId="0" borderId="2" xfId="0" applyNumberFormat="1" applyFont="1" applyFill="1" applyBorder="1" applyAlignment="1">
      <x:alignment horizontal="center"/>
    </x:xf>
    <x:xf numFmtId="200" fontId="14" fillId="0" borderId="2" xfId="0" applyNumberFormat="1" applyFont="1" applyFill="1" applyBorder="1" applyAlignment="1">
      <x:alignment horizontal="center" vertical="center"/>
    </x:xf>
    <x:xf numFmtId="203" fontId="14" fillId="0" borderId="0" xfId="0" applyNumberFormat="1" applyFont="1" applyFill="1" applyBorder="1"/>
    <x:xf numFmtId="203" fontId="14" fillId="0" borderId="0" xfId="0" applyNumberFormat="1" applyFont="1" applyFill="1" applyBorder="1" applyAlignment="1">
      <x:alignment horizontal="center"/>
    </x:xf>
    <x:xf numFmtId="203" fontId="14" fillId="0" borderId="0" xfId="0" applyNumberFormat="1" applyFont="1" applyFill="1" applyBorder="1" applyAlignment="1">
      <x:alignment horizontal="center" vertical="center"/>
    </x:xf>
    <x:xf numFmtId="203" fontId="14" fillId="0" borderId="2" xfId="0" applyNumberFormat="1" applyFont="1" applyFill="1" applyBorder="1"/>
    <x:xf numFmtId="203" fontId="14" fillId="0" borderId="2" xfId="0" applyNumberFormat="1" applyFont="1" applyFill="1" applyBorder="1" applyAlignment="1">
      <x:alignment horizontal="center"/>
    </x:xf>
    <x:xf numFmtId="203" fontId="14" fillId="0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43" fontId="6" fillId="3" borderId="1" xfId="0" applyNumberFormat="1" applyFont="1" applyFill="1" applyBorder="1" applyAlignment="1">
      <x:alignment horizontal="center" vertical="top" wrapText="1"/>
    </x:xf>
    <x:xf numFmtId="0" fontId="6" fillId="3" borderId="3" xfId="0" applyNumberFormat="1" applyFont="1" applyFill="1" applyBorder="1" applyAlignment="1">
      <x:alignment horizontal="center" vertical="top" wrapText="1"/>
    </x:xf>
    <x:xf numFmtId="43" fontId="6" fillId="3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43" fontId="1" fillId="0" borderId="1" xfId="0" applyNumberFormat="1" applyFont="1" applyFill="1" applyBorder="1" applyAlignment="1">
      <x:alignment horizontal="center" vertical="top"/>
    </x:xf>
    <x:xf numFmtId="4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/>
    <x:xf numFmtId="43" fontId="0" fillId="2" borderId="0" xfId="0" applyNumberFormat="1" applyFont="1" applyFill="1" applyBorder="1"/>
    <x:xf numFmtId="9" fontId="0" fillId="2" borderId="0" xfId="0" applyNumberFormat="1" applyFont="1" applyFill="1" applyBorder="1"/>
    <x:xf numFmtId="43" fontId="1" fillId="2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200" fontId="14" fillId="9" borderId="0" xfId="0" applyNumberFormat="1" applyFont="1" applyFill="1" applyBorder="1" applyAlignment="1">
      <x:alignment horizontal="center" vertical="center"/>
    </x:xf>
    <x:xf numFmtId="203" fontId="14" fillId="9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/>
    <x:xf numFmtId="203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center"/>
    </x:xf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 vertical="center"/>
    </x:xf>
    <x:xf numFmtId="200" fontId="14" fillId="12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200" fontId="17" fillId="12" borderId="0" xfId="0" applyNumberFormat="1" applyFont="1" applyFill="1" applyBorder="1" applyAlignment="1">
      <x:alignment horizontal="center" vertical="center"/>
    </x:xf>
    <x:xf numFmtId="0" fontId="17" fillId="12" borderId="0" xfId="0" applyNumberFormat="1" applyFont="1" applyFill="1" applyBorder="1"/>
    <x:xf numFmtId="200" fontId="17" fillId="12" xfId="0" applyNumberFormat="1" applyFont="1" applyFill="1" applyBorder="0" applyAlignment="1">
      <x:alignment horizontal="center" vertical="center"/>
    </x:xf>
    <x:xf numFmtId="0" fontId="17" fillId="12" xfId="0" applyNumberFormat="1" applyFont="1" applyFill="1" applyBorder="0"/>
    <x:xf numFmtId="0" fontId="17" fillId="12" borderId="6" xfId="0" applyNumberFormat="1" applyFont="1" applyFill="1" applyBorder="1"/>
    <x:xf numFmtId="200" fontId="17" fillId="12" xfId="0" applyNumberFormat="1" applyFont="1" applyFill="1" applyBorder="0"/>
    <x:xf numFmtId="200" fontId="17" fillId="12" borderId="6" xfId="0" applyNumberFormat="1" applyFont="1" applyFill="1" applyBorder="1"/>
    <x:xf numFmtId="200" fontId="17" fillId="12" xfId="0" applyNumberFormat="1" applyFont="1" applyFill="1" applyBorder="0" applyAlignment="1">
      <x:alignment horizontal="center"/>
    </x:xf>
    <x:xf numFmtId="200" fontId="17" fillId="12" borderId="6" xfId="0" applyNumberFormat="1" applyFont="1" applyFill="1" applyBorder="1" applyAlignment="1">
      <x:alignment horizontal="center"/>
    </x:xf>
    <x:xf numFmtId="200" fontId="17" fillId="12" borderId="6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 vertical="center"/>
    </x:xf>
    <x:xf numFmtId="0" fontId="17" fillId="12" borderId="7" xfId="0" applyNumberFormat="1" applyFont="1" applyFill="1" applyBorder="1"/>
    <x:xf numFmtId="200" fontId="17" fillId="12" borderId="7" xfId="0" applyNumberFormat="1" applyFont="1" applyFill="1" applyBorder="1"/>
    <x:xf numFmtId="200" fontId="17" fillId="12" borderId="7" xfId="0" applyNumberFormat="1" applyFont="1" applyFill="1" applyBorder="1" applyAlignment="1">
      <x:alignment horizontal="center"/>
    </x:xf>
    <x:xf numFmtId="200" fontId="17" fillId="12" borderId="7" xfId="0" applyNumberFormat="1" applyFont="1" applyFill="1" applyBorder="1" applyAlignment="1">
      <x:alignment horizontal="center" vertical="center"/>
    </x:xf>
    <x:xf numFmtId="0" fontId="13" fillId="14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 vertical="center"/>
    </x:xf>
    <x:xf numFmtId="0" fontId="17" fillId="12" borderId="8" xfId="0" applyNumberFormat="1" applyFont="1" applyFill="1" applyBorder="1"/>
    <x:xf numFmtId="200" fontId="17" fillId="12" borderId="8" xfId="0" applyNumberFormat="1" applyFont="1" applyFill="1" applyBorder="1"/>
    <x:xf numFmtId="200" fontId="17" fillId="12" borderId="8" xfId="0" applyNumberFormat="1" applyFont="1" applyFill="1" applyBorder="1" applyAlignment="1">
      <x:alignment horizontal="center"/>
    </x:xf>
    <x:xf numFmtId="200" fontId="17" fillId="12" borderId="8" xfId="0" applyNumberFormat="1" applyFont="1" applyFill="1" applyBorder="1" applyAlignment="1">
      <x:alignment horizontal="center" vertical="center"/>
    </x:xf>
    <x:xf numFmtId="0" fontId="13" fillId="15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 vertical="center"/>
    </x:xf>
    <x:xf numFmtId="203" fontId="14" fillId="12" borderId="0" xfId="0" applyNumberFormat="1" applyFont="1" applyFill="1" applyBorder="1" applyAlignment="1">
      <x:alignment horizontal="center" vertical="center"/>
    </x:xf>
    <x:xf numFmtId="203" fontId="17" fillId="12" borderId="0" xfId="0" applyNumberFormat="1" applyFont="1" applyFill="1" applyBorder="1" applyAlignment="1">
      <x:alignment horizontal="center" vertical="center"/>
    </x:xf>
    <x:xf numFmtId="203" fontId="17" fillId="12" xfId="0" applyNumberFormat="1" applyFont="1" applyFill="1" applyBorder="0" applyAlignment="1">
      <x:alignment horizontal="center" vertical="center"/>
    </x:xf>
    <x:xf numFmtId="0" fontId="17" fillId="12" borderId="9" xfId="0" applyNumberFormat="1" applyFont="1" applyFill="1" applyBorder="1"/>
    <x:xf numFmtId="203" fontId="17" fillId="12" xfId="0" applyNumberFormat="1" applyFont="1" applyFill="1" applyBorder="0"/>
    <x:xf numFmtId="203" fontId="17" fillId="12" borderId="9" xfId="0" applyNumberFormat="1" applyFont="1" applyFill="1" applyBorder="1"/>
    <x:xf numFmtId="203" fontId="17" fillId="12" xfId="0" applyNumberFormat="1" applyFont="1" applyFill="1" applyBorder="0" applyAlignment="1">
      <x:alignment horizontal="center"/>
    </x:xf>
    <x:xf numFmtId="203" fontId="17" fillId="12" borderId="9" xfId="0" applyNumberFormat="1" applyFont="1" applyFill="1" applyBorder="1" applyAlignment="1">
      <x:alignment horizontal="center"/>
    </x:xf>
    <x:xf numFmtId="203" fontId="17" fillId="12" borderId="9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6" fillId="16" borderId="0" xfId="0" applyNumberFormat="1" applyFont="1" applyFill="1" applyBorder="1" applyAlignment="1">
      <x:alignment horizontal="center" vertical="center"/>
    </x:xf>
    <x:xf numFmtId="200" fontId="17" fillId="12" borderId="0" xfId="0" applyNumberFormat="1" applyFont="1" applyFill="1" applyBorder="1"/>
    <x:xf numFmtId="200" fontId="17" fillId="1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6" fillId="17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200" fontId="6" fillId="10" borderId="0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wrapText="1"/>
    </x:xf>
    <x:xf numFmtId="0" fontId="18" fillId="18" borderId="0" xfId="0" applyNumberFormat="1" applyFont="1" applyFill="1" applyBorder="1" applyAlignment="1">
      <x:alignment vertical="top" wrapText="1"/>
    </x:xf>
    <x:xf numFmtId="0" fontId="15" fillId="10" borderId="0" xfId="0" applyNumberFormat="1" applyFont="1" applyFill="1" applyBorder="1" applyAlignment="1">
      <x:alignment horizontal="center" vertical="center" wrapText="0"/>
    </x:xf>
    <x:xf numFmtId="0" fontId="16" fillId="10" borderId="0" xfId="0" applyNumberFormat="1" applyFont="1" applyFill="1" applyBorder="1" applyAlignment="1">
      <x:alignment horizontal="center" wrapText="0"/>
    </x:xf>
    <x:xf numFmtId="0" fontId="6" fillId="11" borderId="0" xfId="0" applyNumberFormat="1" applyFont="1" applyFill="1" applyBorder="1" applyAlignment="1">
      <x:alignment horizontal="center" vertical="center" wrapText="0"/>
    </x:xf>
    <x:xf numFmtId="0" fontId="6" fillId="13" borderId="0" xfId="0" applyNumberFormat="1" applyFont="1" applyFill="1" applyBorder="1" applyAlignment="1">
      <x:alignment horizontal="center" vertical="center" wrapText="0"/>
    </x:xf>
    <x:xf numFmtId="0" fontId="6" fillId="14" borderId="0" xfId="0" applyNumberFormat="1" applyFont="1" applyFill="1" applyBorder="1" applyAlignment="1">
      <x:alignment horizontal="center" vertical="center" wrapText="0"/>
    </x:xf>
    <x:xf numFmtId="0" fontId="6" fillId="15" borderId="0" xfId="0" applyNumberFormat="1" applyFont="1" applyFill="1" applyBorder="1" applyAlignment="1">
      <x:alignment horizontal="center" vertical="center" wrapText="0"/>
    </x:xf>
    <x:xf numFmtId="0" fontId="6" fillId="16" borderId="0" xfId="0" applyNumberFormat="1" applyFont="1" applyFill="1" applyBorder="1" applyAlignment="1">
      <x:alignment horizontal="center" vertical="center" wrapText="0"/>
    </x:xf>
    <x:xf numFmtId="0" fontId="6" fillId="17" borderId="0" xfId="0" applyNumberFormat="1" applyFont="1" applyFill="1" applyBorder="1" applyAlignment="1">
      <x:alignment horizontal="center" vertical="center" wrapText="0"/>
    </x:xf>
    <x:xf numFmtId="200" fontId="17" fillId="12" xfId="0" applyNumberFormat="1" applyFont="1" applyFill="1" applyBorder="0" applyAlignment="1">
      <x:alignment horizontal="center" vertical="center" wrapText="0"/>
    </x:xf>
    <x:xf numFmtId="203" fontId="17" fillId="12" xfId="0" applyNumberFormat="1" applyFont="1" applyFill="1" applyBorder="0" applyAlignment="1">
      <x:alignment horizontal="center" vertical="center" wrapText="0"/>
    </x:xf>
    <x:xf numFmtId="200" fontId="17" fillId="12" borderId="0" xfId="0" applyNumberFormat="1" applyFont="1" applyFill="1" applyBorder="1" applyAlignment="1">
      <x:alignment horizontal="center" vertical="center" wrapText="0"/>
    </x:xf>
    <x:xf numFmtId="200" fontId="17" fillId="12" borderId="6" xfId="0" applyNumberFormat="1" applyFont="1" applyFill="1" applyBorder="1" applyAlignment="1">
      <x:alignment horizontal="center" vertical="center" wrapText="0"/>
    </x:xf>
    <x:xf numFmtId="200" fontId="17" fillId="12" borderId="7" xfId="0" applyNumberFormat="1" applyFont="1" applyFill="1" applyBorder="1" applyAlignment="1">
      <x:alignment horizontal="center" vertical="center" wrapText="0"/>
    </x:xf>
    <x:xf numFmtId="200" fontId="17" fillId="12" borderId="8" xfId="0" applyNumberFormat="1" applyFont="1" applyFill="1" applyBorder="1" applyAlignment="1">
      <x:alignment horizontal="center" vertical="center" wrapText="0"/>
    </x:xf>
    <x:xf numFmtId="203" fontId="17" fillId="12" borderId="9" xfId="0" applyNumberFormat="1" applyFont="1" applyFill="1" applyBorder="1" applyAlignment="1">
      <x:alignment horizontal="center" vertical="center" wrapText="0"/>
    </x:xf>
    <x:xf numFmtId="0" fontId="0" fillId="9" borderId="0" xfId="0" applyNumberFormat="1" applyFont="1" applyFill="1" applyBorder="1" applyAlignment="1">
      <x:alignment wrapText="0"/>
    </x:xf>
    <x:xf numFmtId="0" fontId="6" fillId="10" borderId="0" xfId="0" applyNumberFormat="1" applyFont="1" applyFill="1" applyBorder="1" applyAlignment="1">
      <x:alignment horizontal="center" wrapText="0"/>
    </x:xf>
    <x:xf numFmtId="0" fontId="6" fillId="9" borderId="0" xfId="0" applyNumberFormat="1" applyFont="1" applyFill="1" applyBorder="1" applyAlignment="1">
      <x:alignment wrapText="0"/>
    </x:xf>
    <x:xf numFmtId="0" fontId="6" fillId="9" borderId="0" xfId="0" applyNumberFormat="1" applyFont="1" applyFill="1" applyBorder="1" applyAlignment="1">
      <x:alignment horizontal="center" wrapText="0"/>
    </x:xf>
    <x:xf numFmtId="0" fontId="6" fillId="16" borderId="0" xfId="0" applyNumberFormat="1" applyFont="1" applyFill="1" applyBorder="1" applyAlignment="1">
      <x:alignment horizontal="center" wrapText="0"/>
    </x:xf>
    <x:xf numFmtId="200" fontId="0" fillId="9" borderId="0" xfId="0" applyNumberFormat="1" applyFont="1" applyFill="1" applyBorder="1" applyAlignment="1">
      <x:alignment wrapText="0"/>
    </x:xf>
    <x:xf numFmtId="203" fontId="0" fillId="9" borderId="0" xfId="0" applyNumberFormat="1" applyFont="1" applyFill="1" applyBorder="1" applyAlignment="1">
      <x:alignment wrapText="0"/>
    </x:xf>
    <x:xf numFmtId="200" fontId="0" fillId="9" borderId="0" xfId="0" applyNumberFormat="1" applyFont="1" applyFill="1" applyBorder="1" applyAlignment="1">
      <x:alignment vertical="top" wrapText="0"/>
    </x:xf>
    <x:xf numFmtId="0" fontId="0" fillId="9" borderId="0" xfId="0" applyNumberFormat="1" applyFont="1" applyFill="1" applyBorder="1" applyAlignment="1">
      <x:alignment vertical="top" wrapText="0"/>
    </x:xf>
    <x:xf numFmtId="0" fontId="18" fillId="18" borderId="0" xfId="0" applyNumberFormat="1" applyFont="1" applyFill="1" applyBorder="1" applyAlignment="1">
      <x:alignment vertical="top" wrapText="0"/>
    </x:xf>
    <x:xf numFmtId="200" fontId="6" fillId="10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6" fillId="10" borderId="1" xfId="0" applyNumberFormat="1" applyFont="1" applyFill="1" applyBorder="1" applyAlignment="1">
      <x:alignment horizontal="center" vertical="center"/>
    </x:xf>
    <x:xf numFmtId="43" fontId="6" fillId="10" borderId="1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200" fontId="7" fillId="19" borderId="0" xfId="0" applyNumberFormat="1" applyFont="1" applyFill="1" applyBorder="1" applyAlignment="1">
      <x:alignment horizontal="right"/>
    </x:xf>
    <x:xf numFmtId="201" fontId="7" fillId="19" borderId="0" xfId="0" applyNumberFormat="1" applyFont="1" applyFill="1" applyBorder="1" applyAlignment="1">
      <x:alignment horizontal="right"/>
    </x:xf>
    <x:xf numFmtId="202" fontId="7" fillId="19" borderId="0" xfId="0" applyNumberFormat="1" applyFont="1" applyFill="1" applyBorder="1" applyAlignment="1">
      <x:alignment horizontal="right"/>
    </x:xf>
    <x:xf numFmtId="0" fontId="9" fillId="10" borderId="0" xfId="0" applyNumberFormat="1" applyFont="1" applyFill="1" applyBorder="1" applyAlignment="1">
      <x:alignment horizontal="left" vertical="center"/>
    </x:xf>
    <x:xf numFmtId="0" fontId="6" fillId="10" borderId="0" xfId="0" applyNumberFormat="1" applyFont="1" applyFill="1" applyBorder="1" applyAlignment="1">
      <x:alignment horizontal="left"/>
    </x:xf>
    <x:xf numFmtId="200" fontId="6" fillId="10" borderId="0" xfId="0" applyNumberFormat="1" applyFont="1" applyFill="1" applyBorder="1" applyAlignment="1">
      <x:alignment horizontal="left"/>
    </x:xf>
    <x:xf numFmtId="0" fontId="3" fillId="20" borderId="0" xfId="0" applyNumberFormat="1" applyFont="1" applyFill="1" applyBorder="1"/>
    <x:xf numFmtId="200" fontId="12" fillId="20" borderId="0" xfId="0" applyNumberFormat="1" applyFont="1" applyFill="1" applyBorder="1"/>
    <x:xf numFmtId="203" fontId="12" fillId="20" borderId="0" xfId="0" applyNumberFormat="1" applyFont="1" applyFill="1" applyBorder="1"/>
    <x:xf numFmtId="200" fontId="10" fillId="18" borderId="0" xfId="0" applyNumberFormat="1" applyFont="1" applyFill="1" applyBorder="1"/>
    <x:xf numFmtId="0" fontId="3" fillId="21" borderId="0" xfId="0" applyNumberFormat="1" applyFont="1" applyFill="1" applyBorder="1"/>
    <x:xf numFmtId="200" fontId="12" fillId="21" borderId="0" xfId="0" applyNumberFormat="1" applyFont="1" applyFill="1" applyBorder="1"/>
    <x:xf numFmtId="203" fontId="12" fillId="21" borderId="0" xfId="0" applyNumberFormat="1" applyFont="1" applyFill="1" applyBorder="1"/>
  </x:cellXfs>
  <x:cellStyles count="3">
    <x:cellStyle name="Comma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dab307d894803" /><Relationship Type="http://schemas.openxmlformats.org/officeDocument/2006/relationships/theme" Target="/xl/theme/theme1.xml" Id="Rc12d0508ace44d9b" /><Relationship Type="http://schemas.openxmlformats.org/officeDocument/2006/relationships/sharedStrings" Target="/xl/sharedStrings.xml" Id="R582b4539afa34fb1" /><Relationship Type="http://schemas.openxmlformats.org/officeDocument/2006/relationships/worksheet" Target="/xl/worksheets/sheet1.xml" Id="R088d47cc566e4169" /><Relationship Type="http://schemas.openxmlformats.org/officeDocument/2006/relationships/worksheet" Target="/xl/worksheets/sheet2.xml" Id="Rc4f8d9c82fb4443d" /><Relationship Type="http://schemas.openxmlformats.org/officeDocument/2006/relationships/worksheet" Target="/xl/worksheets/sheet3.xml" Id="R8e5bdb72de024b22" /><Relationship Type="http://schemas.openxmlformats.org/officeDocument/2006/relationships/worksheet" Target="/xl/worksheets/sheet4.xml" Id="R8f3e37b438714e29" /><Relationship Type="http://schemas.openxmlformats.org/officeDocument/2006/relationships/worksheet" Target="/xl/worksheets/sheet5.xml" Id="Rce2ccf68b759465f" /><Relationship Type="http://schemas.openxmlformats.org/officeDocument/2006/relationships/worksheet" Target="/xl/worksheets/sheet6.xml" Id="R899c4aac46d4491e" /><Relationship Type="http://schemas.openxmlformats.org/officeDocument/2006/relationships/worksheet" Target="/xl/worksheets/sheet7.xml" Id="Rf9bedafc395447a7" /><Relationship Type="http://schemas.openxmlformats.org/officeDocument/2006/relationships/worksheet" Target="/xl/worksheets/sheet8.xml" Id="R117af598eeab4f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141dbbfbba4ff5" /><Relationship Type="http://schemas.openxmlformats.org/officeDocument/2006/relationships/chart" Target="/xl/drawings/charts/chart2.xml" Id="R1e5e7769328f4098" /><Relationship Type="http://schemas.openxmlformats.org/officeDocument/2006/relationships/chart" Target="/xl/drawings/charts/chart3.xml" Id="R9281f6d8ab6d4ae3" /><Relationship Type="http://schemas.openxmlformats.org/officeDocument/2006/relationships/chart" Target="/xl/drawings/charts/chart4.xml" Id="R8d788925b0884976" /><Relationship Type="http://schemas.openxmlformats.org/officeDocument/2006/relationships/chart" Target="/xl/drawings/charts/chart5.xml" Id="R0a636067020c4a43" /><Relationship Type="http://schemas.openxmlformats.org/officeDocument/2006/relationships/chart" Target="/xl/drawings/charts/chart6.xml" Id="R86067b7d4f1840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Mix</a:t>
            </a:r>
          </a:p>
        </c:rich>
      </c:tx>
    </c:title>
    <c:plotArea>
      <c:pieChart>
        <c:ser>
          <c:idx val="0"/>
          <c:order val="0"/>
          <c:tx>
            <c:v>Amount (UGX)</c:v>
          </c:tx>
          <c:cat>
            <c:strRef>
              <c:f>'Management Dashboard'!$A$9:$A$10</c:f>
              <c:strCache>
                <c:ptCount val="0"/>
              </c:strCache>
            </c:strRef>
          </c:cat>
          <c:val>
            <c:numRef>
              <c:f>'Management Dashboard'!$B$9:$B$10</c:f>
              <c:numCache>
                <c:formatCode>#,##0;[Red](#,##0);-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Hardware Revenue: DStv vs GOtv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 (UGX)</c:v>
          </c:tx>
          <c:cat>
            <c:strRef>
              <c:f>'Management Dashboard'!$D$9:$D$10</c:f>
              <c:strCache>
                <c:ptCount val="0"/>
              </c:strCache>
            </c:strRef>
          </c:cat>
          <c:val>
            <c:numRef>
              <c:f>'Management Dashboard'!$E$9:$E$10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 by Scenario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Profit (UGX)</c:v>
          </c:tx>
          <c:cat>
            <c:strRef>
              <c:f>'Management Dashboard'!$G$9:$G$10</c:f>
              <c:strCache>
                <c:ptCount val="0"/>
              </c:strCache>
            </c:strRef>
          </c:cat>
          <c:val>
            <c:numRef>
              <c:f>'Management Dashboard'!$H$9:$H$10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Cost Breakdown</a:t>
            </a:r>
          </a:p>
        </c:rich>
      </c:tx>
    </c:title>
    <c:plotArea>
      <c:pieChart>
        <c:ser>
          <c:idx val="0"/>
          <c:order val="0"/>
          <c:tx>
            <c:v>Amount (UGX)</c:v>
          </c:tx>
          <c:cat>
            <c:strRef>
              <c:f>'Management Dashboard'!$A$14:$A$18</c:f>
              <c:strCache>
                <c:ptCount val="0"/>
              </c:strCache>
            </c:strRef>
          </c:cat>
          <c:val>
            <c:numRef>
              <c:f>'Management Dashboard'!$B$14:$B$18</c:f>
              <c:numCache>
                <c:formatCode>#,##0;[Red](#,##0);-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Subscription Revenue by Package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 (UGX)</c:v>
          </c:tx>
          <c:cat>
            <c:strRef>
              <c:f>'Management Dashboard'!$E$14:$E$27</c:f>
              <c:strCache>
                <c:ptCount val="0"/>
              </c:strCache>
            </c:strRef>
          </c:cat>
          <c:val>
            <c:numRef>
              <c:f>'Management Dashboard'!$F$14:$F$27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Known Top Partner Units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Matched Units</c:v>
          </c:tx>
          <c:cat>
            <c:strRef>
              <c:f>'Management Dashboard'!$H$14:$H$17</c:f>
              <c:strCache>
                <c:ptCount val="0"/>
              </c:strCache>
            </c:strRef>
          </c:cat>
          <c:val>
            <c:numRef>
              <c:f>'Management Dashboard'!$I$14:$I$17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141dbbfbba4ff5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5e7769328f4098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81f6d8ab6d4ae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4</xdr:col>
      <xdr:colOff>0</xdr:colOff>
      <xdr:row>58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788925b0884976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636067020c4a43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067b7d4f1840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6991879d6d2420a" /></Relationships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22.25" hidden="0" customWidth="1"/>
    <x:col min="3" max="3" width="4.130000114440918" hidden="0" customWidth="1"/>
    <x:col min="4" max="4" width="4.5" hidden="0" customWidth="1"/>
    <x:col min="5" max="5" width="13" hidden="0" customWidth="1"/>
    <x:col min="6" max="6" width="13.380000114440918" hidden="0" customWidth="1"/>
    <x:col min="7" max="7" width="22.75" hidden="0" customWidth="1"/>
    <x:col min="8" max="8" width="11.75" hidden="0" customWidth="1"/>
  </x:cols>
  <x:sheetData>
    <x:row r="1">
      <x:c r="A1" s="154" t="s">
        <x:v>0</x:v>
      </x:c>
      <x:c r="B1" s="154" t="s">
        <x:v>1</x:v>
      </x:c>
      <x:c r="C1" s="154" t="s">
        <x:v>2</x:v>
      </x:c>
      <x:c r="D1" s="154" t="s">
        <x:v>3</x:v>
      </x:c>
      <x:c r="E1" s="154" t="s">
        <x:v>4</x:v>
      </x:c>
      <x:c r="F1" s="154" t="s">
        <x:v>5</x:v>
      </x:c>
      <x:c r="G1" s="154" t="s">
        <x:v>6</x:v>
      </x:c>
      <x:c r="H1" s="154" t="s">
        <x:v>7</x:v>
      </x:c>
    </x:row>
    <x:row r="2">
      <x:c r="A2">
        <x:v>21173</x:v>
      </x:c>
      <x:c r="B2" t="s">
        <x:v>8</x:v>
      </x:c>
      <x:c r="C2">
        <x:v>23</x:v>
      </x:c>
      <x:c r="D2">
        <x:v>5</x:v>
      </x:c>
      <x:c r="E2">
        <x:v>575000</x:v>
      </x:c>
      <x:c r="F2">
        <x:v>145000</x:v>
      </x:c>
      <x:c r="G2">
        <x:v>720000</x:v>
      </x:c>
      <x:c r="H2">
        <x:v>28</x:v>
      </x:c>
    </x:row>
    <x:row r="3">
      <x:c r="A3">
        <x:v>21578</x:v>
      </x:c>
      <x:c r="B3" t="s">
        <x:v>9</x:v>
      </x:c>
      <x:c r="C3">
        <x:v>14</x:v>
      </x:c>
      <x:c r="D3">
        <x:v>9</x:v>
      </x:c>
      <x:c r="E3">
        <x:v>350000</x:v>
      </x:c>
      <x:c r="F3">
        <x:v>261000</x:v>
      </x:c>
      <x:c r="G3">
        <x:v>611000</x:v>
      </x:c>
      <x:c r="H3">
        <x:v>23</x:v>
      </x:c>
    </x:row>
    <x:row r="4">
      <x:c r="A4">
        <x:v>22771</x:v>
      </x:c>
      <x:c r="B4" t="s">
        <x:v>10</x:v>
      </x:c>
      <x:c r="C4">
        <x:v>20</x:v>
      </x:c>
      <x:c r="D4">
        <x:v>17</x:v>
      </x:c>
      <x:c r="E4">
        <x:v>500000</x:v>
      </x:c>
      <x:c r="F4">
        <x:v>493000</x:v>
      </x:c>
      <x:c r="G4">
        <x:v>993000</x:v>
      </x:c>
      <x:c r="H4">
        <x:v>37</x:v>
      </x:c>
    </x:row>
    <x:row r="5">
      <x:c r="A5">
        <x:v>645378</x:v>
      </x:c>
      <x:c r="B5" t="s">
        <x:v>11</x:v>
      </x:c>
      <x:c r="C5">
        <x:v>36</x:v>
      </x:c>
      <x:c r="D5">
        <x:v>19</x:v>
      </x:c>
      <x:c r="E5">
        <x:v>900000</x:v>
      </x:c>
      <x:c r="F5">
        <x:v>551000</x:v>
      </x:c>
      <x:c r="G5">
        <x:v>1451000</x:v>
      </x:c>
      <x:c r="H5">
        <x:v>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style="12" hidden="0" customWidth="1"/>
    <x:col min="3" max="3" width="44" hidden="0" customWidth="1"/>
    <x:col min="17" max="17" width="43" customWidth="1"/>
  </x:cols>
  <x:sheetData>
    <x:row r="1" s="15" customFormat="1">
      <x:c r="A1" s="279" t="s">
        <x:v>12</x:v>
      </x:c>
      <x:c r="B1" s="280" t="s">
        <x:v>13</x:v>
      </x:c>
      <x:c r="C1" s="281" t="s">
        <x:v>14</x:v>
      </x:c>
      <x:c r="E1" s="245" t="str">
        <x:v>MODEL INSTRUCTIONS</x:v>
      </x:c>
      <x:c r="F1" s="245"/>
    </x:row>
    <x:row r="2">
      <x:c r="A2" t="s">
        <x:v>15</x:v>
      </x:c>
      <x:c r="B2" s="282">
        <x:v>25000</x:v>
      </x:c>
      <x:c r="C2" s="60" t="s">
        <x:v>16</x:v>
      </x:c>
      <x:c r="E2" s="73" t="str">
        <x:v>Change only the yellow cells in Column B to test scenarios. The P&amp;L Model recalculates automatically.</x:v>
      </x:c>
      <x:c r="F2" s="73"/>
    </x:row>
    <x:row r="3">
      <x:c r="A3" t="s">
        <x:v>17</x:v>
      </x:c>
      <x:c r="B3" s="282">
        <x:v>29000</x:v>
      </x:c>
      <x:c r="C3" s="60" t="s">
        <x:v>18</x:v>
      </x:c>
      <x:c r="E3" s="73"/>
      <x:c r="F3" s="73"/>
    </x:row>
    <x:row r="4">
      <x:c r="A4" t="s">
        <x:v>19</x:v>
      </x:c>
      <x:c r="B4" s="282">
        <x:v>8500</x:v>
      </x:c>
      <x:c r="C4" s="60" t="s">
        <x:v>20</x:v>
      </x:c>
      <x:c r="E4" s="73"/>
      <x:c r="F4" s="73"/>
    </x:row>
    <x:row r="5">
      <x:c r="A5" t="s">
        <x:v>21</x:v>
      </x:c>
      <x:c r="B5" s="283">
        <x:v>0.05</x:v>
      </x:c>
      <x:c r="C5" s="60" t="s">
        <x:v>22</x:v>
      </x:c>
      <x:c r="E5" s="73"/>
      <x:c r="F5" s="73"/>
    </x:row>
    <x:row r="6">
      <x:c r="A6" t="s">
        <x:v>23</x:v>
      </x:c>
      <x:c r="B6" s="283">
        <x:v>0.2</x:v>
      </x:c>
      <x:c r="C6" s="60" t="s">
        <x:v>24</x:v>
      </x:c>
    </x:row>
    <x:row r="7">
      <x:c r="A7" t="s">
        <x:v>25</x:v>
      </x:c>
      <x:c r="B7" s="284">
        <x:v>35</x:v>
      </x:c>
      <x:c r="C7" s="60" t="s">
        <x:v>26</x:v>
      </x:c>
    </x:row>
    <x:row r="8">
      <x:c r="A8" t="s">
        <x:v>27</x:v>
      </x:c>
      <x:c r="B8" s="283">
        <x:v>0.05</x:v>
      </x:c>
      <x:c r="C8" s="60" t="s">
        <x:v>28</x:v>
      </x:c>
    </x:row>
    <x:row r="9">
      <x:c r="A9" t="s">
        <x:v>29</x:v>
      </x:c>
      <x:c r="B9" s="283">
        <x:v>0.02</x:v>
      </x:c>
      <x:c r="C9" s="60" t="s">
        <x:v>30</x:v>
      </x:c>
    </x:row>
    <x:row r="10">
      <x:c r="A10" t="s">
        <x:v>31</x:v>
      </x:c>
      <x:c r="B10" s="282">
        <x:v>25000</x:v>
      </x:c>
      <x:c r="C10" s="60" t="s">
        <x:v>32</x:v>
      </x:c>
    </x:row>
    <x:row r="11">
      <x:c r="A11" t="s">
        <x:v>33</x:v>
      </x:c>
      <x:c r="B11" s="282">
        <x:v>2000</x:v>
      </x:c>
      <x:c r="C11" s="60" t="s">
        <x:v>34</x:v>
      </x:c>
    </x:row>
    <x:row r="12">
      <x:c r="A12" t="s">
        <x:v>35</x:v>
      </x:c>
      <x:c r="B12" s="282">
        <x:v>30000000</x:v>
      </x:c>
      <x:c r="C12" s="60" t="s">
        <x:v>36</x:v>
      </x:c>
    </x:row>
  </x:sheetData>
  <x:mergeCells>
    <x:mergeCell ref="E1:F1"/>
    <x:mergeCell ref="E2:F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style="3" hidden="0" customWidth="1"/>
  </x:cols>
  <x:sheetData>
    <x:row r="1">
      <x:c r="A1" s="154" t="s">
        <x:v>37</x:v>
      </x:c>
      <x:c r="B1" s="155" t="s">
        <x:v>13</x:v>
      </x:c>
    </x:row>
    <x:row r="2">
      <x:c r="A2" t="s">
        <x:v>38</x:v>
      </x:c>
      <x:c r="B2" s="3">
        <x:v>10364</x:v>
      </x:c>
    </x:row>
    <x:row r="3">
      <x:c r="A3" t="s">
        <x:v>39</x:v>
      </x:c>
      <x:c r="B3" s="3">
        <x:v>3103</x:v>
      </x:c>
    </x:row>
    <x:row r="4">
      <x:c r="A4" t="s">
        <x:v>40</x:v>
      </x:c>
      <x:c r="B4" s="3">
        <x:v>13467</x:v>
      </x:c>
    </x:row>
    <x:row r="5">
      <x:c r="A5" t="s">
        <x:v>41</x:v>
      </x:c>
      <x:c r="B5" s="3">
        <x:v>657264000</x:v>
      </x:c>
    </x:row>
    <x:row r="6">
      <x:c r="A6" t="s">
        <x:v>42</x:v>
      </x:c>
      <x:c r="B6" s="3">
        <x:v>56810260</x:v>
      </x:c>
    </x:row>
    <x:row r="7">
      <x:c r="A7" t="s">
        <x:v>43</x:v>
      </x:c>
      <x:c r="B7" s="3">
        <x:v>1704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3" max="3" width="9.75" style="3" hidden="0" customWidth="1"/>
    <x:col min="5" max="5" width="13" style="3" hidden="0" customWidth="1"/>
    <x:col min="6" max="6" width="19.8799991607666" style="3" hidden="0" customWidth="1"/>
    <x:col min="7" max="7" width="13.380000114440918" style="3" hidden="0" customWidth="1"/>
    <x:col min="8" max="8" width="23.75" style="3" hidden="0" customWidth="1"/>
    <x:col min="1" max="1" width="8" hidden="0" customWidth="1"/>
    <x:col min="2" max="2" width="14.5" hidden="0" customWidth="1"/>
    <x:col min="4" max="4" width="10.630000114440918" hidden="0" customWidth="1"/>
  </x:cols>
  <x:sheetData>
    <x:row r="1" s="7" customFormat="1">
      <x:c r="A1" s="154" t="s">
        <x:v>44</x:v>
      </x:c>
      <x:c r="B1" s="154" t="s">
        <x:v>45</x:v>
      </x:c>
      <x:c r="C1" s="155" t="s">
        <x:v>46</x:v>
      </x:c>
      <x:c r="D1" s="155" t="s">
        <x:v>47</x:v>
      </x:c>
      <x:c r="E1" s="155" t="s">
        <x:v>48</x:v>
      </x:c>
      <x:c r="F1" s="155" t="s">
        <x:v>49</x:v>
      </x:c>
      <x:c r="G1" s="155" t="s">
        <x:v>50</x:v>
      </x:c>
      <x:c r="H1" s="155" t="s">
        <x:v>51</x:v>
      </x:c>
    </x:row>
    <x:row r="2">
      <x:c r="A2" t="s">
        <x:v>2</x:v>
      </x:c>
      <x:c r="B2" t="s">
        <x:v>52</x:v>
      </x:c>
      <x:c r="C2" s="3">
        <x:v>49000</x:v>
      </x:c>
      <x:c r="D2" s="3">
        <x:v>1164</x:v>
      </x:c>
      <x:c r="E2" s="3">
        <x:v>57036000</x:v>
      </x:c>
      <x:c r="F2" s="3">
        <x:v>2851800</x:v>
      </x:c>
      <x:c r="G2" s="3">
        <x:v>11407200</x:v>
      </x:c>
      <x:c r="H2" s="3">
        <x:v>14259000</x:v>
      </x:c>
    </x:row>
    <x:row r="3">
      <x:c r="A3" t="s">
        <x:v>2</x:v>
      </x:c>
      <x:c r="B3" t="s">
        <x:v>53</x:v>
      </x:c>
      <x:c r="C3" s="3">
        <x:v>120000</x:v>
      </x:c>
      <x:c r="D3" s="3">
        <x:v>2854</x:v>
      </x:c>
      <x:c r="E3" s="3">
        <x:v>342480000</x:v>
      </x:c>
      <x:c r="F3" s="3">
        <x:v>17124000</x:v>
      </x:c>
      <x:c r="G3" s="3">
        <x:v>68496000</x:v>
      </x:c>
      <x:c r="H3" s="3">
        <x:v>85620000</x:v>
      </x:c>
    </x:row>
    <x:row r="4">
      <x:c r="A4" t="s">
        <x:v>2</x:v>
      </x:c>
      <x:c r="B4" t="s">
        <x:v>54</x:v>
      </x:c>
      <x:c r="C4" s="3">
        <x:v>185000</x:v>
      </x:c>
      <x:c r="D4" s="3">
        <x:v>261</x:v>
      </x:c>
      <x:c r="E4" s="3">
        <x:v>48285000</x:v>
      </x:c>
      <x:c r="F4" s="3">
        <x:v>2414250</x:v>
      </x:c>
      <x:c r="G4" s="3">
        <x:v>9657000</x:v>
      </x:c>
      <x:c r="H4" s="3">
        <x:v>12071250</x:v>
      </x:c>
    </x:row>
    <x:row r="5">
      <x:c r="A5" t="s">
        <x:v>2</x:v>
      </x:c>
      <x:c r="B5" t="s">
        <x:v>55</x:v>
      </x:c>
      <x:c r="C5" s="3">
        <x:v>270000</x:v>
      </x:c>
      <x:c r="D5" s="3">
        <x:v>1</x:v>
      </x:c>
      <x:c r="E5" s="3">
        <x:v>270000</x:v>
      </x:c>
      <x:c r="F5" s="3">
        <x:v>13500</x:v>
      </x:c>
      <x:c r="G5" s="3">
        <x:v>54000</x:v>
      </x:c>
      <x:c r="H5" s="3">
        <x:v>67500</x:v>
      </x:c>
    </x:row>
    <x:row r="6">
      <x:c r="A6" t="s">
        <x:v>2</x:v>
      </x:c>
      <x:c r="B6" t="s">
        <x:v>56</x:v>
      </x:c>
      <x:c r="C6" s="3">
        <x:v>115000</x:v>
      </x:c>
      <x:c r="D6" s="3">
        <x:v>1</x:v>
      </x:c>
      <x:c r="E6" s="3">
        <x:v>115000</x:v>
      </x:c>
      <x:c r="F6" s="3">
        <x:v>5750</x:v>
      </x:c>
      <x:c r="G6" s="3">
        <x:v>23000</x:v>
      </x:c>
      <x:c r="H6" s="3">
        <x:v>28750</x:v>
      </x:c>
    </x:row>
    <x:row r="7">
      <x:c r="A7" t="s">
        <x:v>2</x:v>
      </x:c>
      <x:c r="B7" t="s">
        <x:v>57</x:v>
      </x:c>
      <x:c r="C7" s="3">
        <x:v>76000</x:v>
      </x:c>
      <x:c r="D7" s="3">
        <x:v>250</x:v>
      </x:c>
      <x:c r="E7" s="3">
        <x:v>19000000</x:v>
      </x:c>
      <x:c r="F7" s="3">
        <x:v>950000</x:v>
      </x:c>
      <x:c r="G7" s="3">
        <x:v>3800000</x:v>
      </x:c>
      <x:c r="H7" s="3">
        <x:v>4750000</x:v>
      </x:c>
    </x:row>
    <x:row r="8">
      <x:c r="A8" t="s">
        <x:v>2</x:v>
      </x:c>
      <x:c r="B8" t="s">
        <x:v>58</x:v>
      </x:c>
      <x:c r="C8" s="3">
        <x:v>17000</x:v>
      </x:c>
      <x:c r="D8" s="3">
        <x:v>5873</x:v>
      </x:c>
      <x:c r="E8" s="3">
        <x:v>99841000</x:v>
      </x:c>
      <x:c r="F8" s="3">
        <x:v>4992050</x:v>
      </x:c>
      <x:c r="G8" s="3">
        <x:v>19968200</x:v>
      </x:c>
      <x:c r="H8" s="3">
        <x:v>24960250</x:v>
      </x:c>
    </x:row>
    <x:row r="9">
      <x:c r="A9" t="s">
        <x:v>2</x:v>
      </x:c>
      <x:c r="B9" t="s">
        <x:v>59</x:v>
      </x:c>
      <x:c r="C9" s="3">
        <x:v>320000</x:v>
      </x:c>
      <x:c r="D9" s="3">
        <x:v>25</x:v>
      </x:c>
      <x:c r="E9" s="3">
        <x:v>8000000</x:v>
      </x:c>
      <x:c r="F9" s="3">
        <x:v>400000</x:v>
      </x:c>
      <x:c r="G9" s="3">
        <x:v>1600000</x:v>
      </x:c>
      <x:c r="H9" s="3">
        <x:v>2000000</x:v>
      </x:c>
    </x:row>
    <x:row r="10">
      <x:c r="A10" t="s">
        <x:v>3</x:v>
      </x:c>
      <x:c r="B10" t="s">
        <x:v>60</x:v>
      </x:c>
      <x:c r="C10" s="3">
        <x:v>15000</x:v>
      </x:c>
      <x:c r="D10" s="3">
        <x:v>1473</x:v>
      </x:c>
      <x:c r="E10" s="3">
        <x:v>22095000</x:v>
      </x:c>
      <x:c r="F10" s="3">
        <x:v>1104750</x:v>
      </x:c>
      <x:c r="G10" s="3">
        <x:v>4419000</x:v>
      </x:c>
      <x:c r="H10" s="3">
        <x:v>5523750</x:v>
      </x:c>
    </x:row>
    <x:row r="11">
      <x:c r="A11" t="s">
        <x:v>3</x:v>
      </x:c>
      <x:c r="B11" t="s">
        <x:v>61</x:v>
      </x:c>
      <x:c r="C11" s="3">
        <x:v>58000</x:v>
      </x:c>
      <x:c r="D11" s="3">
        <x:v>116</x:v>
      </x:c>
      <x:c r="E11" s="3">
        <x:v>6728000</x:v>
      </x:c>
      <x:c r="F11" s="3">
        <x:v>336400</x:v>
      </x:c>
      <x:c r="G11" s="3">
        <x:v>1345600</x:v>
      </x:c>
      <x:c r="H11" s="3">
        <x:v>1682000</x:v>
      </x:c>
    </x:row>
    <x:row r="12">
      <x:c r="A12" t="s">
        <x:v>3</x:v>
      </x:c>
      <x:c r="B12" t="s">
        <x:v>62</x:v>
      </x:c>
      <x:c r="C12" s="3">
        <x:v>36000</x:v>
      </x:c>
      <x:c r="D12" s="3">
        <x:v>688</x:v>
      </x:c>
      <x:c r="E12" s="3">
        <x:v>24768000</x:v>
      </x:c>
      <x:c r="F12" s="3">
        <x:v>1238400</x:v>
      </x:c>
      <x:c r="G12" s="3">
        <x:v>4953600</x:v>
      </x:c>
      <x:c r="H12" s="3">
        <x:v>6192000</x:v>
      </x:c>
    </x:row>
    <x:row r="13">
      <x:c r="A13" t="s">
        <x:v>3</x:v>
      </x:c>
      <x:c r="B13" t="s">
        <x:v>63</x:v>
      </x:c>
      <x:c r="C13" s="3">
        <x:v>76000</x:v>
      </x:c>
      <x:c r="D13" s="3">
        <x:v>46</x:v>
      </x:c>
      <x:c r="E13" s="3">
        <x:v>3496000</x:v>
      </x:c>
      <x:c r="F13" s="3">
        <x:v>174800</x:v>
      </x:c>
      <x:c r="G13" s="3">
        <x:v>699200</x:v>
      </x:c>
      <x:c r="H13" s="3">
        <x:v>874000</x:v>
      </x:c>
    </x:row>
    <x:row r="14">
      <x:c r="A14" t="s">
        <x:v>3</x:v>
      </x:c>
      <x:c r="B14" t="s">
        <x:v>64</x:v>
      </x:c>
      <x:c r="C14" s="3">
        <x:v>120000</x:v>
      </x:c>
      <x:c r="D14" s="3">
        <x:v>62</x:v>
      </x:c>
      <x:c r="E14" s="3">
        <x:v>7440000</x:v>
      </x:c>
      <x:c r="F14" s="3">
        <x:v>372000</x:v>
      </x:c>
      <x:c r="G14" s="3">
        <x:v>1488000</x:v>
      </x:c>
      <x:c r="H14" s="3">
        <x:v>1860000</x:v>
      </x:c>
    </x:row>
    <x:row r="15">
      <x:c r="A15" t="s">
        <x:v>3</x:v>
      </x:c>
      <x:c r="B15" t="s">
        <x:v>65</x:v>
      </x:c>
      <x:c r="C15" s="3">
        <x:v>22000</x:v>
      </x:c>
      <x:c r="D15" s="3">
        <x:v>805</x:v>
      </x:c>
      <x:c r="E15" s="3">
        <x:v>17710000</x:v>
      </x:c>
      <x:c r="F15" s="3">
        <x:v>885500</x:v>
      </x:c>
      <x:c r="G15" s="3">
        <x:v>3542000</x:v>
      </x:c>
      <x:c r="H15" s="3">
        <x:v>4427500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4.5" hidden="0" customWidth="1"/>
    <x:col min="3" max="3" width="11.630000114440918" hidden="0" customWidth="1"/>
    <x:col min="4" max="4" width="11.380000114440918" hidden="0" customWidth="1"/>
    <x:col min="5" max="5" width="21.3799991607666" hidden="0" customWidth="1"/>
    <x:col min="6" max="6" width="9.75" style="3" hidden="0" customWidth="1"/>
    <x:col min="7" max="7" width="15.130000114440918" style="3" hidden="0" customWidth="1"/>
  </x:cols>
  <x:sheetData>
    <x:row r="1">
      <x:c r="A1" s="154" t="s">
        <x:v>66</x:v>
      </x:c>
      <x:c r="B1" s="154" t="s">
        <x:v>45</x:v>
      </x:c>
      <x:c r="C1" s="154" t="s">
        <x:v>67</x:v>
      </x:c>
      <x:c r="D1" s="154" t="s">
        <x:v>68</x:v>
      </x:c>
      <x:c r="E1" s="154" t="s">
        <x:v>69</x:v>
      </x:c>
      <x:c r="F1" s="155" t="s">
        <x:v>46</x:v>
      </x:c>
      <x:c r="G1" s="155" t="s">
        <x:v>70</x:v>
      </x:c>
    </x:row>
    <x:row r="2">
      <x:c r="A2" t="s">
        <x:v>2</x:v>
      </x:c>
      <x:c r="B2" t="s">
        <x:v>52</x:v>
      </x:c>
      <x:c r="C2">
        <x:v>308</x:v>
      </x:c>
      <x:c r="D2">
        <x:v>0.1337386018237082</x:v>
      </x:c>
      <x:c r="E2">
        <x:v>72.753799392097264</x:v>
      </x:c>
      <x:c r="F2" s="3">
        <x:v>49000</x:v>
      </x:c>
      <x:c r="G2" s="3">
        <x:v>3564936.1702127662</x:v>
      </x:c>
    </x:row>
    <x:row r="3">
      <x:c r="A3" t="s">
        <x:v>2</x:v>
      </x:c>
      <x:c r="B3" t="s">
        <x:v>53</x:v>
      </x:c>
      <x:c r="C3">
        <x:v>1040</x:v>
      </x:c>
      <x:c r="D3">
        <x:v>0.4515848892748589</x:v>
      </x:c>
      <x:c r="E3">
        <x:v>245.66217976552321</x:v>
      </x:c>
      <x:c r="F3" s="3">
        <x:v>120000</x:v>
      </x:c>
      <x:c r="G3" s="3">
        <x:v>29479461.571862791</x:v>
      </x:c>
    </x:row>
    <x:row r="4">
      <x:c r="A4" t="s">
        <x:v>2</x:v>
      </x:c>
      <x:c r="B4" t="s">
        <x:v>54</x:v>
      </x:c>
      <x:c r="C4">
        <x:v>84</x:v>
      </x:c>
      <x:c r="D4">
        <x:v>3.64741641337386E-2</x:v>
      </x:c>
      <x:c r="E4">
        <x:v>19.841945288753799</x:v>
      </x:c>
      <x:c r="F4" s="3">
        <x:v>185000</x:v>
      </x:c>
      <x:c r="G4" s="3">
        <x:v>3670759.8784194528</x:v>
      </x:c>
    </x:row>
    <x:row r="5">
      <x:c r="A5" t="s">
        <x:v>2</x:v>
      </x:c>
      <x:c r="B5" t="s">
        <x:v>57</x:v>
      </x:c>
      <x:c r="C5">
        <x:v>80</x:v>
      </x:c>
      <x:c r="D5">
        <x:v>3.4737299174989147E-2</x:v>
      </x:c>
      <x:c r="E5">
        <x:v>18.897090751194099</x:v>
      </x:c>
      <x:c r="F5" s="3">
        <x:v>76000</x:v>
      </x:c>
      <x:c r="G5" s="3">
        <x:v>1436178.897090751</x:v>
      </x:c>
    </x:row>
    <x:row r="6">
      <x:c r="A6" t="s">
        <x:v>2</x:v>
      </x:c>
      <x:c r="B6" t="s">
        <x:v>58</x:v>
      </x:c>
      <x:c r="C6">
        <x:v>786</x:v>
      </x:c>
      <x:c r="D6">
        <x:v>0.34129396439426829</x:v>
      </x:c>
      <x:c r="E6">
        <x:v>185.66391663048199</x:v>
      </x:c>
      <x:c r="F6" s="3">
        <x:v>17000</x:v>
      </x:c>
      <x:c r="G6" s="3">
        <x:v>3156286.582718194</x:v>
      </x:c>
    </x:row>
    <x:row r="7">
      <x:c r="A7" t="s">
        <x:v>2</x:v>
      </x:c>
      <x:c r="B7" t="s">
        <x:v>59</x:v>
      </x:c>
      <x:c r="C7">
        <x:v>5</x:v>
      </x:c>
      <x:c r="D7">
        <x:v>2.1710811984368221E-3</x:v>
      </x:c>
      <x:c r="E7">
        <x:v>1.181068171949631</x:v>
      </x:c>
      <x:c r="F7" s="3">
        <x:v>320000</x:v>
      </x:c>
      <x:c r="G7" s="3">
        <x:v>377941.81502388191</x:v>
      </x:c>
    </x:row>
    <x:row r="8">
      <x:c r="A8" t="s">
        <x:v>3</x:v>
      </x:c>
      <x:c r="B8" t="s">
        <x:v>60</x:v>
      </x:c>
      <x:c r="C8">
        <x:v>715</x:v>
      </x:c>
      <x:c r="D8">
        <x:v>0.47319655857048321</x:v>
      </x:c>
      <x:c r="E8">
        <x:v>277.29318332230321</x:v>
      </x:c>
      <x:c r="F8" s="3">
        <x:v>15000</x:v>
      </x:c>
      <x:c r="G8" s="3">
        <x:v>4159397.7498345468</x:v>
      </x:c>
    </x:row>
    <x:row r="9">
      <x:c r="A9" t="s">
        <x:v>3</x:v>
      </x:c>
      <x:c r="B9" t="s">
        <x:v>61</x:v>
      </x:c>
      <x:c r="C9">
        <x:v>60</x:v>
      </x:c>
      <x:c r="D9">
        <x:v>3.9708802117802783E-2</x:v>
      </x:c>
      <x:c r="E9">
        <x:v>23.269358041032429</x:v>
      </x:c>
      <x:c r="F9" s="3">
        <x:v>58000</x:v>
      </x:c>
      <x:c r="G9" s="3">
        <x:v>1349622.766379881</x:v>
      </x:c>
    </x:row>
    <x:row r="10">
      <x:c r="A10" t="s">
        <x:v>3</x:v>
      </x:c>
      <x:c r="B10" t="s">
        <x:v>62</x:v>
      </x:c>
      <x:c r="C10">
        <x:v>308</x:v>
      </x:c>
      <x:c r="D10">
        <x:v>0.20383851753805429</x:v>
      </x:c>
      <x:c r="E10">
        <x:v>119.4493712772998</x:v>
      </x:c>
      <x:c r="F10" s="3">
        <x:v>36000</x:v>
      </x:c>
      <x:c r="G10" s="3">
        <x:v>4300177.3659827933</x:v>
      </x:c>
    </x:row>
    <x:row r="11">
      <x:c r="A11" t="s">
        <x:v>3</x:v>
      </x:c>
      <x:c r="B11" t="s">
        <x:v>63</x:v>
      </x:c>
      <x:c r="C11">
        <x:v>25</x:v>
      </x:c>
      <x:c r="D11">
        <x:v>1.6545334215751158E-2</x:v>
      </x:c>
      <x:c r="E11">
        <x:v>9.695565850430178</x:v>
      </x:c>
      <x:c r="F11" s="3">
        <x:v>76000</x:v>
      </x:c>
      <x:c r="G11" s="3">
        <x:v>736863.00463269348</x:v>
      </x:c>
    </x:row>
    <x:row r="12">
      <x:c r="A12" t="s">
        <x:v>3</x:v>
      </x:c>
      <x:c r="B12" t="s">
        <x:v>64</x:v>
      </x:c>
      <x:c r="C12">
        <x:v>30</x:v>
      </x:c>
      <x:c r="D12">
        <x:v>1.9854401058901391E-2</x:v>
      </x:c>
      <x:c r="E12">
        <x:v>11.634679020516209</x:v>
      </x:c>
      <x:c r="F12" s="3">
        <x:v>120000</x:v>
      </x:c>
      <x:c r="G12" s="3">
        <x:v>1396161.4824619461</x:v>
      </x:c>
    </x:row>
    <x:row r="13">
      <x:c r="A13" t="s">
        <x:v>3</x:v>
      </x:c>
      <x:c r="B13" t="s">
        <x:v>65</x:v>
      </x:c>
      <x:c r="C13">
        <x:v>373</x:v>
      </x:c>
      <x:c r="D13">
        <x:v>0.24685638649900729</x:v>
      </x:c>
      <x:c r="E13">
        <x:v>144.65784248841831</x:v>
      </x:c>
      <x:c r="F13" s="3">
        <x:v>22000</x:v>
      </x:c>
      <x:c r="G13" s="3">
        <x:v>3182472.5347452019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.380001068115234" hidden="0" customWidth="1"/>
    <x:col min="2" max="2" width="14.380000114440918" style="3" hidden="0" customWidth="1"/>
  </x:cols>
  <x:sheetData>
    <x:row r="1">
      <x:c r="A1" s="154" t="s">
        <x:v>71</x:v>
      </x:c>
      <x:c r="B1" s="155" t="s">
        <x:v>72</x:v>
      </x:c>
    </x:row>
    <x:row r="2">
      <x:c r="A2" t="s">
        <x:v>73</x:v>
      </x:c>
      <x:c r="B2" s="3">
        <x:v>714074260</x:v>
      </x:c>
    </x:row>
    <x:row r="3">
      <x:c r="A3" t="s">
        <x:v>74</x:v>
      </x:c>
      <x:c r="B3" s="3">
        <x:v>349087000</x:v>
      </x:c>
    </x:row>
    <x:row r="4">
      <x:c r="A4" t="s">
        <x:v>75</x:v>
      </x:c>
      <x:c r="B4" s="3">
        <x:v>1063161260</x:v>
      </x:c>
    </x:row>
    <x:row r="5">
      <x:c r="A5" t="s">
        <x:v>76</x:v>
      </x:c>
      <x:c r="B5" s="3">
        <x:v>-114469500</x:v>
      </x:c>
    </x:row>
    <x:row r="6">
      <x:c r="A6" t="s">
        <x:v>77</x:v>
      </x:c>
      <x:c r="B6" s="3">
        <x:v>-178518565</x:v>
      </x:c>
    </x:row>
    <x:row r="7">
      <x:c r="A7" t="s">
        <x:v>78</x:v>
      </x:c>
      <x:c r="B7" s="3">
        <x:v>-972200</x:v>
      </x:c>
    </x:row>
    <x:row r="8">
      <x:c r="A8" t="s">
        <x:v>79</x:v>
      </x:c>
      <x:c r="B8" s="3">
        <x:v>-26934000</x:v>
      </x:c>
    </x:row>
    <x:row r="9">
      <x:c r="A9" t="s">
        <x:v>80</x:v>
      </x:c>
      <x:c r="B9" s="3">
        <x:v>-320894265</x:v>
      </x:c>
    </x:row>
    <x:row r="10">
      <x:c r="A10" t="s">
        <x:v>81</x:v>
      </x:c>
      <x:c r="B10" s="3">
        <x:v>742266995</x:v>
      </x:c>
    </x:row>
    <x:row r="11">
      <x:c r="A11" t="s">
        <x:v>82</x:v>
      </x:c>
      <x:c r="B11" s="3">
        <x:v>-30000000</x:v>
      </x:c>
    </x:row>
    <x:row r="12">
      <x:c r="A12" t="s">
        <x:v>83</x:v>
      </x:c>
      <x:c r="B12" s="3">
        <x:v>-350894265</x:v>
      </x:c>
    </x:row>
    <x:row r="13">
      <x:c r="A13" t="s">
        <x:v>84</x:v>
      </x:c>
      <x:c r="B13" s="3">
        <x:v>712266995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4" max="4" width="17.42578125" customWidth="1"/>
  </x:cols>
  <x:sheetData>
    <x:row r="1" s="9" customFormat="1" ht="28" customHeight="1">
      <x:c r="A1" s="285" t="s">
        <x:v>85</x:v>
      </x:c>
      <x:c r="B1" s="285"/>
    </x:row>
    <x:row r="3">
      <x:c r="A3" s="286" t="s">
        <x:v>86</x:v>
      </x:c>
      <x:c r="B3" s="286"/>
      <x:c r="D3" s="245" t="str">
        <x:v>SCENARIO GUIDE</x:v>
      </x:c>
      <x:c r="E3" s="245"/>
      <x:c r="F3" s="245"/>
    </x:row>
    <x:row r="4">
      <x:c r="A4" s="8" t="s">
        <x:v>87</x:v>
      </x:c>
      <x:c r="B4" s="93" t="n">
        <x:f>'Sales Inputs'!B2*Assumptions!B2</x:f>
        <x:v>259100000</x:v>
      </x:c>
      <x:c r="D4" s="73" t="str">
        <x:v>Change assumptions on the Assumptions sheet. Revenue, costs, profit and margins update automatically.</x:v>
      </x:c>
      <x:c r="E4" s="73"/>
      <x:c r="F4" s="73"/>
    </x:row>
    <x:row r="5">
      <x:c r="A5" s="8" t="s">
        <x:v>88</x:v>
      </x:c>
      <x:c r="B5" s="93" t="n">
        <x:f>'Sales Inputs'!B3*Assumptions!B3</x:f>
        <x:v>89987000</x:v>
      </x:c>
      <x:c r="D5" s="73"/>
      <x:c r="E5" s="73"/>
      <x:c r="F5" s="73"/>
    </x:row>
    <x:row r="6">
      <x:c r="A6" t="s">
        <x:v>89</x:v>
      </x:c>
      <x:c r="B6" s="95" t="n">
        <x:f>SUM(B4:B5)</x:f>
        <x:v>349087000</x:v>
      </x:c>
      <x:c r="D6" s="73"/>
      <x:c r="E6" s="73"/>
      <x:c r="F6" s="73"/>
    </x:row>
    <x:row r="7">
      <x:c r="A7" t="s">
        <x:v>73</x:v>
      </x:c>
      <x:c r="B7" s="93" t="n">
        <x:f>SUM('Sales Inputs'!B5:B6)</x:f>
        <x:v>714074260</x:v>
      </x:c>
      <x:c r="D7" s="73"/>
      <x:c r="E7" s="73"/>
      <x:c r="F7" s="73"/>
    </x:row>
    <x:row r="8">
      <x:c r="A8" s="104" t="s">
        <x:v>75</x:v>
      </x:c>
      <x:c r="B8" s="105" t="n">
        <x:f>SUM(B6:B7)</x:f>
        <x:v>1063161260</x:v>
      </x:c>
    </x:row>
    <x:row r="9">
      <x:c r="B9" s="87"/>
    </x:row>
    <x:row r="10">
      <x:c r="A10" s="286" t="s">
        <x:v>90</x:v>
      </x:c>
      <x:c r="B10" s="287"/>
    </x:row>
    <x:row r="11">
      <x:c r="A11" t="s">
        <x:v>76</x:v>
      </x:c>
      <x:c r="B11" s="93" t="n">
        <x:f>'Sales Inputs'!B4*Assumptions!B4</x:f>
        <x:v>114469500</x:v>
      </x:c>
    </x:row>
    <x:row r="12">
      <x:c r="A12" t="s">
        <x:v>77</x:v>
      </x:c>
      <x:c r="B12" s="95" t="n">
        <x:f>B7*(Assumptions!B5+Assumptions!B6)</x:f>
        <x:v>178518565</x:v>
      </x:c>
    </x:row>
    <x:row r="13">
      <x:c r="A13" t="s">
        <x:v>78</x:v>
      </x:c>
      <x:c r="B13" s="93" t="n">
        <x:f>SUMIF('Partner Hardware'!H:H,"&gt;="&amp;Assumptions!B7,'Partner Hardware'!G:G)*Assumptions!B8</x:f>
        <x:v>122200</x:v>
      </x:c>
    </x:row>
    <x:row r="14">
      <x:c r="A14" t="s">
        <x:v>31</x:v>
      </x:c>
      <x:c r="B14" s="93" t="n">
        <x:f>ROUND('Sales Inputs'!B7*Assumptions!B9,0)*Assumptions!B10</x:f>
        <x:v>850000</x:v>
      </x:c>
    </x:row>
    <x:row r="15">
      <x:c r="A15" t="s">
        <x:v>79</x:v>
      </x:c>
      <x:c r="B15" s="93" t="n">
        <x:f>'Sales Inputs'!B4*Assumptions!B11</x:f>
        <x:v>26934000</x:v>
      </x:c>
    </x:row>
    <x:row r="16">
      <x:c r="A16" s="104" t="s">
        <x:v>91</x:v>
      </x:c>
      <x:c r="B16" s="105" t="n">
        <x:f>SUM(B11:B15)</x:f>
        <x:v>320894265</x:v>
      </x:c>
    </x:row>
    <x:row r="17">
      <x:c r="B17" s="87"/>
    </x:row>
    <x:row r="18">
      <x:c r="A18" s="286" t="s">
        <x:v>92</x:v>
      </x:c>
      <x:c r="B18" s="287"/>
    </x:row>
    <x:row r="19">
      <x:c r="A19" s="288" t="s">
        <x:v>93</x:v>
      </x:c>
      <x:c r="B19" s="289" t="n">
        <x:f>B8-B16</x:f>
        <x:v>742266995</x:v>
      </x:c>
    </x:row>
    <x:row r="20">
      <x:c r="A20" s="288" t="s">
        <x:v>94</x:v>
      </x:c>
      <x:c r="B20" s="290" t="n">
        <x:f>B19/B8</x:f>
        <x:v>0.6981697160410077</x:v>
      </x:c>
    </x:row>
    <x:row r="21">
      <x:c r="A21" s="248" t="s">
        <x:v>35</x:v>
      </x:c>
      <x:c r="B21" s="291" t="n">
        <x:f>Assumptions!B12</x:f>
        <x:v>30000000</x:v>
      </x:c>
    </x:row>
    <x:row r="22">
      <x:c r="A22" s="104" t="s">
        <x:v>95</x:v>
      </x:c>
      <x:c r="B22" s="105" t="n">
        <x:f>B16+B21</x:f>
        <x:v>350894265</x:v>
      </x:c>
    </x:row>
    <x:row r="23">
      <x:c r="A23" s="292" t="s">
        <x:v>96</x:v>
      </x:c>
      <x:c r="B23" s="293" t="n">
        <x:f>B8-B22</x:f>
        <x:v>712266995</x:v>
      </x:c>
    </x:row>
    <x:row r="24">
      <x:c r="A24" s="292" t="s">
        <x:v>97</x:v>
      </x:c>
      <x:c r="B24" s="294" t="n">
        <x:f>B23/B8</x:f>
        <x:v>0.6699519835777312</x:v>
      </x:c>
    </x:row>
  </x:sheetData>
  <x:mergeCells>
    <x:mergeCell ref="A1:B1"/>
    <x:mergeCell ref="D3:F3"/>
    <x:mergeCell ref="D4:F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8" hidden="0" customWidth="1"/>
    <x:col min="5" max="5" width="24" hidden="0" customWidth="1"/>
    <x:col min="6" max="6" width="15" hidden="0" customWidth="1"/>
    <x:col min="7" max="7" width="15" hidden="0" customWidth="1"/>
    <x:col min="8" max="8" width="30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</x:cols>
  <x:sheetData>
    <x:row r="1" ht="32" customHeight="1">
      <x:c r="A1" s="252" t="str">
        <x:v>MULTICHOICE | AUGUST 2026 SALES P&amp;L</x:v>
      </x:c>
      <x:c r="B1" s="252"/>
      <x:c r="C1" s="252"/>
      <x:c r="D1" s="252"/>
      <x:c r="E1" s="252"/>
      <x:c r="F1" s="252"/>
      <x:c r="G1" s="252"/>
      <x:c r="H1" s="252"/>
      <x:c r="I1" s="252"/>
      <x:c r="J1" s="252"/>
      <x:c r="K1" s="252"/>
      <x:c r="L1" s="252"/>
    </x:row>
    <x:row r="2">
      <x:c r="A2" s="253" t="str">
        <x:v>Interactive management view — change yellow assumptions to test commercial scenarios</x:v>
      </x:c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</x:row>
    <x:row r="3">
      <x:c r="A3" s="254" t="str">
        <x:v>TOTAL REVENUE</x:v>
      </x:c>
      <x:c r="B3" s="254"/>
      <x:c r="C3" s="255" t="str">
        <x:v>BASE COSTS</x:v>
      </x:c>
      <x:c r="D3" s="255"/>
      <x:c r="E3" s="256" t="str">
        <x:v>BASE PROFIT</x:v>
      </x:c>
      <x:c r="F3" s="256"/>
      <x:c r="G3" s="257" t="str">
        <x:v>BASE MARGIN</x:v>
      </x:c>
      <x:c r="H3" s="257"/>
      <x:c r="I3" s="258" t="str">
        <x:v>MEGA DEALER INCENTIVE</x:v>
      </x:c>
      <x:c r="J3" s="258"/>
      <x:c r="K3" s="259" t="str">
        <x:v>PROFIT AFTER INCENTIVE</x:v>
      </x:c>
      <x:c r="L3" s="259"/>
    </x:row>
    <x:row r="4">
      <x:c r="A4" s="260" t="n">
        <x:f>'P AND L MODEL'!B8</x:f>
        <x:v>1063161260</x:v>
      </x:c>
      <x:c r="B4" s="260"/>
      <x:c r="C4" s="260" t="n">
        <x:f>'P AND L MODEL'!B16</x:f>
        <x:v>320894265</x:v>
      </x:c>
      <x:c r="D4" s="260"/>
      <x:c r="E4" s="260" t="n">
        <x:f>'P AND L MODEL'!B19</x:f>
        <x:v>742266995</x:v>
      </x:c>
      <x:c r="F4" s="260"/>
      <x:c r="G4" s="261" t="n">
        <x:f>'P AND L MODEL'!B20</x:f>
        <x:v>0.6981697160410077</x:v>
      </x:c>
      <x:c r="H4" s="261"/>
      <x:c r="I4" s="262" t="n">
        <x:f>'P AND L MODEL'!B21</x:f>
        <x:v>30000000</x:v>
      </x:c>
      <x:c r="J4" s="262"/>
      <x:c r="K4" s="262" t="n">
        <x:f>'P AND L MODEL'!B23</x:f>
        <x:v>712266995</x:v>
      </x:c>
      <x:c r="L4" s="262"/>
    </x:row>
    <x:row r="5">
      <x:c r="A5" s="263"/>
      <x:c r="B5" s="263"/>
      <x:c r="C5" s="264"/>
      <x:c r="D5" s="264"/>
      <x:c r="E5" s="265"/>
      <x:c r="F5" s="265"/>
      <x:c r="G5" s="266"/>
      <x:c r="H5" s="266"/>
      <x:c r="I5" s="262"/>
      <x:c r="J5" s="262"/>
      <x:c r="K5" s="262"/>
      <x:c r="L5" s="262"/>
    </x:row>
    <x:row r="6">
      <x:c r="A6" s="267"/>
      <x:c r="B6" s="267"/>
      <x:c r="C6" s="267"/>
      <x:c r="D6" s="267"/>
      <x:c r="E6" s="267"/>
      <x:c r="F6" s="267"/>
      <x:c r="G6" s="267"/>
      <x:c r="H6" s="267"/>
      <x:c r="I6" s="267"/>
      <x:c r="J6" s="267"/>
      <x:c r="K6" s="267"/>
      <x:c r="L6" s="267"/>
    </x:row>
    <x:row r="7">
      <x:c r="A7" s="267"/>
      <x:c r="B7" s="267"/>
      <x:c r="C7" s="267"/>
      <x:c r="D7" s="267"/>
      <x:c r="E7" s="267"/>
      <x:c r="F7" s="267"/>
      <x:c r="G7" s="267"/>
      <x:c r="H7" s="267"/>
      <x:c r="I7" s="267"/>
      <x:c r="J7" s="267"/>
      <x:c r="K7" s="267"/>
      <x:c r="L7" s="267"/>
    </x:row>
    <x:row r="8">
      <x:c r="A8" s="268" t="str">
        <x:v>Revenue Component</x:v>
      </x:c>
      <x:c r="B8" s="268" t="str">
        <x:v>Amount (UGX)</x:v>
      </x:c>
      <x:c r="C8" s="269" t="str">
        <x:v>Margin</x:v>
      </x:c>
      <x:c r="D8" s="268" t="str">
        <x:v>Hardware Brand</x:v>
      </x:c>
      <x:c r="E8" s="268" t="str">
        <x:v>Revenue (UGX)</x:v>
      </x:c>
      <x:c r="F8" s="270"/>
      <x:c r="G8" s="268" t="str">
        <x:v>Scenario</x:v>
      </x:c>
      <x:c r="H8" s="268" t="str">
        <x:v>Profit (UGX)</x:v>
      </x:c>
      <x:c r="I8" s="268" t="str">
        <x:v>Margin</x:v>
      </x:c>
      <x:c r="J8" s="267"/>
      <x:c r="K8" s="271" t="str">
        <x:v>SCENARIO INSIGHT</x:v>
      </x:c>
      <x:c r="L8" s="271"/>
    </x:row>
    <x:row r="9">
      <x:c r="A9" s="267" t="str">
        <x:v>Hardware Revenue</x:v>
      </x:c>
      <x:c r="B9" s="272" t="n">
        <x:f>'P AND L MODEL'!B6</x:f>
        <x:v>349087000</x:v>
      </x:c>
      <x:c r="C9" s="273" t="n">
        <x:f>'P AND L MODEL'!B20</x:f>
        <x:v>0.6981697160410077</x:v>
      </x:c>
      <x:c r="D9" s="267" t="str">
        <x:v>DStv</x:v>
      </x:c>
      <x:c r="E9" s="274" t="n">
        <x:f>'P AND L MODEL'!B4</x:f>
        <x:v>259100000</x:v>
      </x:c>
      <x:c r="F9" s="275"/>
      <x:c r="G9" s="275" t="str">
        <x:v>Base Case</x:v>
      </x:c>
      <x:c r="H9" s="274" t="n">
        <x:f>'P AND L MODEL'!B19</x:f>
        <x:v>742266995</x:v>
      </x:c>
      <x:c r="I9" s="273" t="n">
        <x:f>'P AND L MODEL'!B20</x:f>
        <x:v>0.6981697160410077</x:v>
      </x:c>
      <x:c r="J9" s="267"/>
      <x:c r="K9" s="276" t="str">
        <x:v>The current UGX 30M Mega Dealer incentive reduces modeled profit by UGX 30M and lowers margin from 69.82% to 67.00%. Change the yellow assumptions to test alternatives.</x:v>
      </x:c>
      <x:c r="L9" s="276"/>
    </x:row>
    <x:row r="10">
      <x:c r="A10" s="267" t="str">
        <x:v>Subscription Revenue</x:v>
      </x:c>
      <x:c r="B10" s="272" t="n">
        <x:f>'P AND L MODEL'!B7</x:f>
        <x:v>714074260</x:v>
      </x:c>
      <x:c r="C10" s="273" t="n">
        <x:f>'P AND L MODEL'!B24</x:f>
        <x:v>0.6699519835777312</x:v>
      </x:c>
      <x:c r="D10" s="267" t="str">
        <x:v>GOtv</x:v>
      </x:c>
      <x:c r="E10" s="274" t="n">
        <x:f>'P AND L MODEL'!B5</x:f>
        <x:v>89987000</x:v>
      </x:c>
      <x:c r="F10" s="275"/>
      <x:c r="G10" s="275" t="str">
        <x:v>With Mega Dealer Incentive</x:v>
      </x:c>
      <x:c r="H10" s="274" t="n">
        <x:f>'P AND L MODEL'!B23</x:f>
        <x:v>712266995</x:v>
      </x:c>
      <x:c r="I10" s="273" t="n">
        <x:f>'P AND L MODEL'!B24</x:f>
        <x:v>0.6699519835777312</x:v>
      </x:c>
      <x:c r="J10" s="267"/>
      <x:c r="K10" s="276"/>
      <x:c r="L10" s="276"/>
    </x:row>
    <x:row r="11">
      <x:c r="A11" s="267"/>
      <x:c r="B11" s="272"/>
      <x:c r="C11" s="267"/>
      <x:c r="D11" s="267"/>
      <x:c r="E11" s="275"/>
      <x:c r="F11" s="275"/>
      <x:c r="G11" s="275"/>
      <x:c r="H11" s="275"/>
      <x:c r="I11" s="267"/>
      <x:c r="J11" s="267"/>
      <x:c r="K11" s="276"/>
      <x:c r="L11" s="276"/>
    </x:row>
    <x:row r="12">
      <x:c r="A12" s="267"/>
      <x:c r="B12" s="272"/>
      <x:c r="C12" s="267"/>
      <x:c r="D12" s="267"/>
      <x:c r="E12" s="275"/>
      <x:c r="F12" s="275"/>
      <x:c r="G12" s="275"/>
      <x:c r="H12" s="275"/>
      <x:c r="I12" s="267"/>
      <x:c r="J12" s="267"/>
      <x:c r="K12" s="276"/>
      <x:c r="L12" s="276"/>
    </x:row>
    <x:row r="13">
      <x:c r="A13" s="268" t="str">
        <x:v>Cost Component</x:v>
      </x:c>
      <x:c r="B13" s="277" t="str">
        <x:v>Amount (UGX)</x:v>
      </x:c>
      <x:c r="C13" s="267"/>
      <x:c r="D13" s="268" t="str">
        <x:v>Brand</x:v>
      </x:c>
      <x:c r="E13" s="268" t="str">
        <x:v>Package</x:v>
      </x:c>
      <x:c r="F13" s="268" t="str">
        <x:v>Revenue (UGX)</x:v>
      </x:c>
      <x:c r="G13" s="267"/>
      <x:c r="H13" s="268" t="str">
        <x:v>Partner</x:v>
      </x:c>
      <x:c r="I13" s="268" t="str">
        <x:v>Matched Units</x:v>
      </x:c>
      <x:c r="J13" s="268" t="str">
        <x:v>Known Sales Value</x:v>
      </x:c>
      <x:c r="K13" s="276"/>
      <x:c r="L13" s="276"/>
    </x:row>
    <x:row r="14">
      <x:c r="A14" s="267" t="str">
        <x:v>Hardware Commission</x:v>
      </x:c>
      <x:c r="B14" s="272" t="n">
        <x:f>'P AND L MODEL'!B11</x:f>
        <x:v>114469500</x:v>
      </x:c>
      <x:c r="C14" s="267"/>
      <x:c r="D14" s="267" t="str">
        <x:f>'Subscription Detail'!A2</x:f>
        <x:v>DStv</x:v>
      </x:c>
      <x:c r="E14" s="267" t="str">
        <x:f>'Subscription Detail'!B2</x:f>
        <x:v>Access</x:v>
      </x:c>
      <x:c r="F14" s="272" t="n">
        <x:f>'Subscription Detail'!E2</x:f>
        <x:v>57036000</x:v>
      </x:c>
      <x:c r="G14" s="267"/>
      <x:c r="H14" s="267" t="str">
        <x:f>'Partner Hardware'!B2</x:f>
        <x:v>Rahim electronics</x:v>
      </x:c>
      <x:c r="I14" s="267" t="n">
        <x:f>'Partner Hardware'!H2</x:f>
        <x:v>28</x:v>
      </x:c>
      <x:c r="J14" s="272" t="n">
        <x:f>'Partner Hardware'!G2</x:f>
        <x:v>720000</x:v>
      </x:c>
      <x:c r="K14" s="267"/>
      <x:c r="L14" s="267"/>
    </x:row>
    <x:row r="15">
      <x:c r="A15" s="267" t="str">
        <x:v>Subscription Commission</x:v>
      </x:c>
      <x:c r="B15" s="272" t="n">
        <x:f>'P AND L MODEL'!B12</x:f>
        <x:v>178518565</x:v>
      </x:c>
      <x:c r="C15" s="267"/>
      <x:c r="D15" s="267" t="str">
        <x:f>'Subscription Detail'!A3</x:f>
        <x:v>DStv</x:v>
      </x:c>
      <x:c r="E15" s="267" t="str">
        <x:f>'Subscription Detail'!B3</x:f>
        <x:v>Compact</x:v>
      </x:c>
      <x:c r="F15" s="272" t="n">
        <x:f>'Subscription Detail'!E3</x:f>
        <x:v>342480000</x:v>
      </x:c>
      <x:c r="G15" s="267"/>
      <x:c r="H15" s="267" t="str">
        <x:f>'Partner Hardware'!B3</x:f>
        <x:v>St. Impex Limited / Amir Bhai</x:v>
      </x:c>
      <x:c r="I15" s="267" t="n">
        <x:f>'Partner Hardware'!H3</x:f>
        <x:v>23</x:v>
      </x:c>
      <x:c r="J15" s="272" t="n">
        <x:f>'Partner Hardware'!G3</x:f>
        <x:v>611000</x:v>
      </x:c>
      <x:c r="K15" s="267"/>
      <x:c r="L15" s="267"/>
    </x:row>
    <x:row r="16">
      <x:c r="A16" s="267" t="str">
        <x:v>Performance Incentive</x:v>
      </x:c>
      <x:c r="B16" s="272" t="n">
        <x:f>'P AND L MODEL'!B13</x:f>
        <x:v>122200</x:v>
      </x:c>
      <x:c r="C16" s="267"/>
      <x:c r="D16" s="267" t="str">
        <x:f>'Subscription Detail'!A4</x:f>
        <x:v>DStv</x:v>
      </x:c>
      <x:c r="E16" s="267" t="str">
        <x:f>'Subscription Detail'!B4</x:f>
        <x:v>Compact Plus</x:v>
      </x:c>
      <x:c r="F16" s="272" t="n">
        <x:f>'Subscription Detail'!E4</x:f>
        <x:v>48285000</x:v>
      </x:c>
      <x:c r="G16" s="267"/>
      <x:c r="H16" s="267" t="str">
        <x:f>'Partner Hardware'!B4</x:f>
        <x:v>Ericom</x:v>
      </x:c>
      <x:c r="I16" s="267" t="n">
        <x:f>'Partner Hardware'!H4</x:f>
        <x:v>37</x:v>
      </x:c>
      <x:c r="J16" s="272" t="n">
        <x:f>'Partner Hardware'!G4</x:f>
        <x:v>993000</x:v>
      </x:c>
      <x:c r="K16" s="267"/>
      <x:c r="L16" s="267"/>
    </x:row>
    <x:row r="17">
      <x:c r="A17" s="267" t="str">
        <x:v>New POS Incentive</x:v>
      </x:c>
      <x:c r="B17" s="272" t="n">
        <x:f>'P AND L MODEL'!B14</x:f>
        <x:v>850000</x:v>
      </x:c>
      <x:c r="C17" s="267"/>
      <x:c r="D17" s="267" t="str">
        <x:f>'Subscription Detail'!A5</x:f>
        <x:v>DStv</x:v>
      </x:c>
      <x:c r="E17" s="267" t="str">
        <x:f>'Subscription Detail'!B5</x:f>
        <x:v>DStv Play Essential</x:v>
      </x:c>
      <x:c r="F17" s="272" t="n">
        <x:f>'Subscription Detail'!E5</x:f>
        <x:v>270000</x:v>
      </x:c>
      <x:c r="G17" s="267"/>
      <x:c r="H17" s="267" t="str">
        <x:f>'Partner Hardware'!B5</x:f>
        <x:v>Nyanziqualityelectronics</x:v>
      </x:c>
      <x:c r="I17" s="267" t="n">
        <x:f>'Partner Hardware'!H5</x:f>
        <x:v>55</x:v>
      </x:c>
      <x:c r="J17" s="272" t="n">
        <x:f>'Partner Hardware'!G5</x:f>
        <x:v>1451000</x:v>
      </x:c>
      <x:c r="K17" s="267"/>
      <x:c r="L17" s="267"/>
    </x:row>
    <x:row r="18">
      <x:c r="A18" s="267" t="str">
        <x:v>Stock Collection Fee</x:v>
      </x:c>
      <x:c r="B18" s="272" t="n">
        <x:f>'P AND L MODEL'!B15</x:f>
        <x:v>26934000</x:v>
      </x:c>
      <x:c r="C18" s="267"/>
      <x:c r="D18" s="267" t="str">
        <x:f>'Subscription Detail'!A6</x:f>
        <x:v>DStv</x:v>
      </x:c>
      <x:c r="E18" s="267" t="str">
        <x:f>'Subscription Detail'!B6</x:f>
        <x:v>DStv Stay Ultra</x:v>
      </x:c>
      <x:c r="F18" s="272" t="n">
        <x:f>'Subscription Detail'!E6</x:f>
        <x:v>115000</x:v>
      </x:c>
      <x:c r="G18" s="267"/>
      <x:c r="H18" s="267"/>
      <x:c r="I18" s="267"/>
      <x:c r="J18" s="267"/>
      <x:c r="K18" s="267"/>
      <x:c r="L18" s="267"/>
    </x:row>
    <x:row r="19">
      <x:c r="A19" s="267"/>
      <x:c r="B19" s="267"/>
      <x:c r="C19" s="267"/>
      <x:c r="D19" s="267" t="str">
        <x:f>'Subscription Detail'!A7</x:f>
        <x:v>DStv</x:v>
      </x:c>
      <x:c r="E19" s="267" t="str">
        <x:f>'Subscription Detail'!B7</x:f>
        <x:v>Family</x:v>
      </x:c>
      <x:c r="F19" s="272" t="n">
        <x:f>'Subscription Detail'!E7</x:f>
        <x:v>19000000</x:v>
      </x:c>
      <x:c r="G19" s="267"/>
      <x:c r="H19" s="267"/>
      <x:c r="I19" s="267"/>
      <x:c r="J19" s="267"/>
      <x:c r="K19" s="267"/>
      <x:c r="L19" s="267"/>
    </x:row>
    <x:row r="20">
      <x:c r="A20" s="267"/>
      <x:c r="B20" s="267"/>
      <x:c r="C20" s="267"/>
      <x:c r="D20" s="267" t="str">
        <x:f>'Subscription Detail'!A8</x:f>
        <x:v>DStv</x:v>
      </x:c>
      <x:c r="E20" s="267" t="str">
        <x:f>'Subscription Detail'!B8</x:f>
        <x:v>Lite</x:v>
      </x:c>
      <x:c r="F20" s="272" t="n">
        <x:f>'Subscription Detail'!E8</x:f>
        <x:v>99841000</x:v>
      </x:c>
      <x:c r="G20" s="267"/>
      <x:c r="H20" s="267"/>
      <x:c r="I20" s="267"/>
      <x:c r="J20" s="267"/>
      <x:c r="K20" s="267"/>
      <x:c r="L20" s="267"/>
    </x:row>
    <x:row r="21">
      <x:c r="A21" s="267"/>
      <x:c r="B21" s="267"/>
      <x:c r="C21" s="267"/>
      <x:c r="D21" s="267" t="str">
        <x:f>'Subscription Detail'!A9</x:f>
        <x:v>DStv</x:v>
      </x:c>
      <x:c r="E21" s="267" t="str">
        <x:f>'Subscription Detail'!B9</x:f>
        <x:v>Premium</x:v>
      </x:c>
      <x:c r="F21" s="272" t="n">
        <x:f>'Subscription Detail'!E9</x:f>
        <x:v>8000000</x:v>
      </x:c>
      <x:c r="G21" s="267"/>
      <x:c r="H21" s="267"/>
      <x:c r="I21" s="267"/>
      <x:c r="J21" s="267"/>
      <x:c r="K21" s="267"/>
      <x:c r="L21" s="267"/>
    </x:row>
    <x:row r="22">
      <x:c r="A22" s="267"/>
      <x:c r="B22" s="267"/>
      <x:c r="C22" s="267"/>
      <x:c r="D22" s="267" t="str">
        <x:f>'Subscription Detail'!A10</x:f>
        <x:v>GOtv</x:v>
      </x:c>
      <x:c r="E22" s="267" t="str">
        <x:f>'Subscription Detail'!B10</x:f>
        <x:v>GOtv Lite</x:v>
      </x:c>
      <x:c r="F22" s="272" t="n">
        <x:f>'Subscription Detail'!E10</x:f>
        <x:v>22095000</x:v>
      </x:c>
      <x:c r="G22" s="267"/>
      <x:c r="H22" s="267"/>
      <x:c r="I22" s="267"/>
      <x:c r="J22" s="267"/>
      <x:c r="K22" s="267"/>
      <x:c r="L22" s="267"/>
    </x:row>
    <x:row r="23">
      <x:c r="A23" s="267"/>
      <x:c r="B23" s="267"/>
      <x:c r="C23" s="267"/>
      <x:c r="D23" s="267" t="str">
        <x:f>'Subscription Detail'!A11</x:f>
        <x:v>GOtv</x:v>
      </x:c>
      <x:c r="E23" s="267" t="str">
        <x:f>'Subscription Detail'!B11</x:f>
        <x:v>GOtv Max</x:v>
      </x:c>
      <x:c r="F23" s="272" t="n">
        <x:f>'Subscription Detail'!E11</x:f>
        <x:v>6728000</x:v>
      </x:c>
      <x:c r="G23" s="267"/>
      <x:c r="H23" s="267"/>
      <x:c r="I23" s="267"/>
      <x:c r="J23" s="267"/>
      <x:c r="K23" s="267"/>
      <x:c r="L23" s="267"/>
    </x:row>
    <x:row r="24">
      <x:c r="A24" s="267"/>
      <x:c r="B24" s="267"/>
      <x:c r="C24" s="267"/>
      <x:c r="D24" s="267" t="str">
        <x:f>'Subscription Detail'!A12</x:f>
        <x:v>GOtv</x:v>
      </x:c>
      <x:c r="E24" s="267" t="str">
        <x:f>'Subscription Detail'!B12</x:f>
        <x:v>GOtv Plus</x:v>
      </x:c>
      <x:c r="F24" s="272" t="n">
        <x:f>'Subscription Detail'!E12</x:f>
        <x:v>24768000</x:v>
      </x:c>
      <x:c r="G24" s="267"/>
      <x:c r="H24" s="267"/>
      <x:c r="I24" s="267"/>
      <x:c r="J24" s="267"/>
      <x:c r="K24" s="267"/>
      <x:c r="L24" s="267"/>
    </x:row>
    <x:row r="25">
      <x:c r="A25" s="267"/>
      <x:c r="B25" s="267"/>
      <x:c r="C25" s="267"/>
      <x:c r="D25" s="267" t="str">
        <x:f>'Subscription Detail'!A13</x:f>
        <x:v>GOtv</x:v>
      </x:c>
      <x:c r="E25" s="267" t="str">
        <x:f>'Subscription Detail'!B13</x:f>
        <x:v>GOtv Supa</x:v>
      </x:c>
      <x:c r="F25" s="272" t="n">
        <x:f>'Subscription Detail'!E13</x:f>
        <x:v>3496000</x:v>
      </x:c>
      <x:c r="G25" s="267"/>
      <x:c r="H25" s="267"/>
      <x:c r="I25" s="267"/>
      <x:c r="J25" s="267"/>
      <x:c r="K25" s="267"/>
      <x:c r="L25" s="267"/>
    </x:row>
    <x:row r="26">
      <x:c r="A26" s="267"/>
      <x:c r="B26" s="267"/>
      <x:c r="C26" s="267"/>
      <x:c r="D26" s="267" t="str">
        <x:f>'Subscription Detail'!A14</x:f>
        <x:v>GOtv</x:v>
      </x:c>
      <x:c r="E26" s="267" t="str">
        <x:f>'Subscription Detail'!B14</x:f>
        <x:v>GOtv Supa Plus</x:v>
      </x:c>
      <x:c r="F26" s="272" t="n">
        <x:f>'Subscription Detail'!E14</x:f>
        <x:v>7440000</x:v>
      </x:c>
      <x:c r="G26" s="267"/>
      <x:c r="H26" s="267"/>
      <x:c r="I26" s="267"/>
      <x:c r="J26" s="267"/>
      <x:c r="K26" s="267"/>
      <x:c r="L26" s="267"/>
    </x:row>
    <x:row r="27">
      <x:c r="A27" s="267"/>
      <x:c r="B27" s="267"/>
      <x:c r="C27" s="267"/>
      <x:c r="D27" s="267" t="str">
        <x:f>'Subscription Detail'!A15</x:f>
        <x:v>GOtv</x:v>
      </x:c>
      <x:c r="E27" s="267" t="str">
        <x:f>'Subscription Detail'!B15</x:f>
        <x:v>GOtv Value</x:v>
      </x:c>
      <x:c r="F27" s="272" t="n">
        <x:f>'Subscription Detail'!E15</x:f>
        <x:v>17710000</x:v>
      </x:c>
      <x:c r="G27" s="267"/>
      <x:c r="H27" s="267"/>
      <x:c r="I27" s="267"/>
      <x:c r="J27" s="267"/>
      <x:c r="K27" s="267"/>
      <x:c r="L27" s="267"/>
    </x:row>
    <x:row r="28">
      <x:c r="A28" s="267"/>
      <x:c r="B28" s="267"/>
      <x:c r="C28" s="267"/>
      <x:c r="D28" s="267"/>
      <x:c r="E28" s="267"/>
      <x:c r="F28" s="267"/>
      <x:c r="G28" s="267"/>
      <x:c r="H28" s="267"/>
      <x:c r="I28" s="267"/>
      <x:c r="J28" s="267"/>
      <x:c r="K28" s="267"/>
      <x:c r="L28" s="267"/>
    </x:row>
    <x:row r="29">
      <x:c r="A29" s="267"/>
      <x:c r="B29" s="267"/>
      <x:c r="C29" s="267"/>
      <x:c r="D29" s="267"/>
      <x:c r="E29" s="267"/>
      <x:c r="F29" s="267"/>
      <x:c r="G29" s="267"/>
      <x:c r="H29" s="267"/>
      <x:c r="I29" s="267"/>
      <x:c r="J29" s="267"/>
      <x:c r="K29" s="267"/>
      <x:c r="L29" s="267"/>
    </x:row>
    <x:row r="30">
      <x:c r="A30" s="267"/>
      <x:c r="B30" s="267"/>
      <x:c r="C30" s="267"/>
      <x:c r="D30" s="267"/>
      <x:c r="E30" s="267"/>
      <x:c r="F30" s="267"/>
      <x:c r="G30" s="267"/>
      <x:c r="H30" s="267"/>
      <x:c r="I30" s="267"/>
      <x:c r="J30" s="267"/>
      <x:c r="K30" s="267"/>
      <x:c r="L30" s="267"/>
    </x:row>
    <x:row r="31">
      <x:c r="A31" s="267"/>
      <x:c r="B31" s="267"/>
      <x:c r="C31" s="267"/>
      <x:c r="D31" s="267"/>
      <x:c r="E31" s="267"/>
      <x:c r="F31" s="267"/>
      <x:c r="G31" s="267"/>
      <x:c r="H31" s="267"/>
      <x:c r="I31" s="267"/>
      <x:c r="J31" s="267"/>
      <x:c r="K31" s="267"/>
      <x:c r="L31" s="267"/>
    </x:row>
    <x:row r="32">
      <x:c r="A32" s="267"/>
      <x:c r="B32" s="267"/>
      <x:c r="C32" s="267"/>
      <x:c r="D32" s="267"/>
      <x:c r="E32" s="267"/>
      <x:c r="F32" s="267"/>
      <x:c r="G32" s="267"/>
      <x:c r="H32" s="267"/>
      <x:c r="I32" s="267"/>
      <x:c r="J32" s="267"/>
      <x:c r="K32" s="267"/>
      <x:c r="L32" s="267"/>
    </x:row>
    <x:row r="33">
      <x:c r="A33" s="267"/>
      <x:c r="B33" s="267"/>
      <x:c r="C33" s="267"/>
      <x:c r="D33" s="267"/>
      <x:c r="E33" s="267"/>
      <x:c r="F33" s="267"/>
      <x:c r="G33" s="267"/>
      <x:c r="H33" s="267"/>
      <x:c r="I33" s="267"/>
      <x:c r="J33" s="267"/>
      <x:c r="K33" s="267"/>
      <x:c r="L33" s="267"/>
    </x:row>
    <x:row r="34">
      <x:c r="A34" s="267"/>
      <x:c r="B34" s="267"/>
      <x:c r="C34" s="267"/>
      <x:c r="D34" s="267"/>
      <x:c r="E34" s="267"/>
      <x:c r="F34" s="267"/>
      <x:c r="G34" s="267"/>
      <x:c r="H34" s="267"/>
      <x:c r="I34" s="267"/>
      <x:c r="J34" s="267"/>
      <x:c r="K34" s="267"/>
      <x:c r="L34" s="267"/>
    </x:row>
    <x:row r="35">
      <x:c r="A35" s="267"/>
      <x:c r="B35" s="267"/>
      <x:c r="C35" s="267"/>
      <x:c r="D35" s="267"/>
      <x:c r="E35" s="267"/>
      <x:c r="F35" s="267"/>
      <x:c r="G35" s="267"/>
      <x:c r="H35" s="267"/>
      <x:c r="I35" s="267"/>
      <x:c r="J35" s="267"/>
      <x:c r="K35" s="267"/>
      <x:c r="L35" s="267"/>
    </x:row>
    <x:row r="36">
      <x:c r="A36" s="267"/>
      <x:c r="B36" s="267"/>
      <x:c r="C36" s="267"/>
      <x:c r="D36" s="267"/>
      <x:c r="E36" s="267"/>
      <x:c r="F36" s="267"/>
      <x:c r="G36" s="267"/>
      <x:c r="H36" s="267"/>
      <x:c r="I36" s="267"/>
      <x:c r="J36" s="267"/>
      <x:c r="K36" s="267"/>
      <x:c r="L36" s="267"/>
    </x:row>
    <x:row r="37">
      <x:c r="A37" s="267"/>
      <x:c r="B37" s="267"/>
      <x:c r="C37" s="267"/>
      <x:c r="D37" s="267"/>
      <x:c r="E37" s="267"/>
      <x:c r="F37" s="267"/>
      <x:c r="G37" s="267"/>
      <x:c r="H37" s="267"/>
      <x:c r="I37" s="267"/>
      <x:c r="J37" s="267"/>
      <x:c r="K37" s="267"/>
      <x:c r="L37" s="267"/>
    </x:row>
    <x:row r="38">
      <x:c r="A38" s="267"/>
      <x:c r="B38" s="267"/>
      <x:c r="C38" s="267"/>
      <x:c r="D38" s="267"/>
      <x:c r="E38" s="267"/>
      <x:c r="F38" s="267"/>
      <x:c r="G38" s="267"/>
      <x:c r="H38" s="267"/>
      <x:c r="I38" s="267"/>
      <x:c r="J38" s="267"/>
      <x:c r="K38" s="267"/>
      <x:c r="L38" s="267"/>
    </x:row>
    <x:row r="39">
      <x:c r="A39" s="267"/>
      <x:c r="B39" s="267"/>
      <x:c r="C39" s="267"/>
      <x:c r="D39" s="267"/>
      <x:c r="E39" s="267"/>
      <x:c r="F39" s="267"/>
      <x:c r="G39" s="267"/>
      <x:c r="H39" s="267"/>
      <x:c r="I39" s="267"/>
      <x:c r="J39" s="267"/>
      <x:c r="K39" s="267"/>
      <x:c r="L39" s="267"/>
    </x:row>
    <x:row r="40">
      <x:c r="A40" s="267"/>
      <x:c r="B40" s="267"/>
      <x:c r="C40" s="267"/>
      <x:c r="D40" s="267"/>
      <x:c r="E40" s="267"/>
      <x:c r="F40" s="267"/>
      <x:c r="G40" s="267"/>
      <x:c r="H40" s="267"/>
      <x:c r="I40" s="267"/>
      <x:c r="J40" s="267"/>
      <x:c r="K40" s="267"/>
      <x:c r="L40" s="267"/>
    </x:row>
    <x:row r="41">
      <x:c r="A41" s="267"/>
      <x:c r="B41" s="267"/>
      <x:c r="C41" s="267"/>
      <x:c r="D41" s="267"/>
      <x:c r="E41" s="267"/>
      <x:c r="F41" s="267"/>
      <x:c r="G41" s="267"/>
      <x:c r="H41" s="267"/>
      <x:c r="I41" s="267"/>
      <x:c r="J41" s="267"/>
      <x:c r="K41" s="267"/>
      <x:c r="L41" s="267"/>
    </x:row>
    <x:row r="42">
      <x:c r="A42" s="267"/>
      <x:c r="B42" s="267"/>
      <x:c r="C42" s="267"/>
      <x:c r="D42" s="267"/>
      <x:c r="E42" s="267"/>
      <x:c r="F42" s="267"/>
      <x:c r="G42" s="267"/>
      <x:c r="H42" s="267"/>
      <x:c r="I42" s="267"/>
      <x:c r="J42" s="267"/>
      <x:c r="K42" s="267"/>
      <x:c r="L42" s="267"/>
    </x:row>
    <x:row r="43">
      <x:c r="A43" s="278"/>
      <x:c r="B43" s="278"/>
      <x:c r="C43" s="278"/>
      <x:c r="D43" s="278"/>
      <x:c r="E43" s="278"/>
      <x:c r="F43" s="278"/>
      <x:c r="G43" s="278"/>
      <x:c r="H43" s="278"/>
      <x:c r="I43" s="278"/>
      <x:c r="J43" s="278"/>
      <x:c r="K43" s="278"/>
      <x:c r="L43" s="278"/>
    </x:row>
    <x:row r="44">
      <x:c r="A44" s="278"/>
      <x:c r="B44" s="278"/>
      <x:c r="C44" s="278"/>
      <x:c r="D44" s="278"/>
      <x:c r="E44" s="278"/>
      <x:c r="F44" s="278"/>
      <x:c r="G44" s="278"/>
      <x:c r="H44" s="278"/>
      <x:c r="I44" s="278"/>
      <x:c r="J44" s="278"/>
      <x:c r="K44" s="278"/>
      <x:c r="L44" s="278"/>
    </x:row>
    <x:row r="45">
      <x:c r="A45" s="278"/>
      <x:c r="B45" s="278"/>
      <x:c r="C45" s="278"/>
      <x:c r="D45" s="278"/>
      <x:c r="E45" s="278"/>
      <x:c r="F45" s="278"/>
      <x:c r="G45" s="278"/>
      <x:c r="H45" s="278"/>
      <x:c r="I45" s="278"/>
      <x:c r="J45" s="278"/>
      <x:c r="K45" s="278"/>
      <x:c r="L45" s="278"/>
    </x:row>
    <x:row r="46">
      <x:c r="A46" s="278"/>
      <x:c r="B46" s="278"/>
      <x:c r="C46" s="278"/>
      <x:c r="D46" s="278"/>
      <x:c r="E46" s="278"/>
      <x:c r="F46" s="278"/>
      <x:c r="G46" s="278"/>
      <x:c r="H46" s="278"/>
      <x:c r="I46" s="278"/>
      <x:c r="J46" s="278"/>
      <x:c r="K46" s="278"/>
      <x:c r="L46" s="278"/>
    </x:row>
    <x:row r="47">
      <x:c r="A47" s="278"/>
      <x:c r="B47" s="278"/>
      <x:c r="C47" s="278"/>
      <x:c r="D47" s="278"/>
      <x:c r="E47" s="278"/>
      <x:c r="F47" s="278"/>
      <x:c r="G47" s="278"/>
      <x:c r="H47" s="278"/>
      <x:c r="I47" s="278"/>
      <x:c r="J47" s="278"/>
      <x:c r="K47" s="278"/>
      <x:c r="L47" s="278"/>
    </x:row>
    <x:row r="48">
      <x:c r="A48" s="278"/>
      <x:c r="B48" s="278"/>
      <x:c r="C48" s="278"/>
      <x:c r="D48" s="278"/>
      <x:c r="E48" s="278"/>
      <x:c r="F48" s="278"/>
      <x:c r="G48" s="278"/>
      <x:c r="H48" s="278"/>
      <x:c r="I48" s="278"/>
      <x:c r="J48" s="278"/>
      <x:c r="K48" s="278"/>
      <x:c r="L48" s="278"/>
    </x:row>
    <x:row r="49">
      <x:c r="A49" s="278"/>
      <x:c r="B49" s="278"/>
      <x:c r="C49" s="278"/>
      <x:c r="D49" s="278"/>
      <x:c r="E49" s="278"/>
      <x:c r="F49" s="278"/>
      <x:c r="G49" s="278"/>
      <x:c r="H49" s="278"/>
      <x:c r="I49" s="278"/>
      <x:c r="J49" s="278"/>
      <x:c r="K49" s="278"/>
      <x:c r="L49" s="278"/>
    </x:row>
    <x:row r="50">
      <x:c r="A50" s="278"/>
      <x:c r="B50" s="278"/>
      <x:c r="C50" s="278"/>
      <x:c r="D50" s="278"/>
      <x:c r="E50" s="278"/>
      <x:c r="F50" s="278"/>
      <x:c r="G50" s="278"/>
      <x:c r="H50" s="278"/>
      <x:c r="I50" s="278"/>
      <x:c r="J50" s="278"/>
      <x:c r="K50" s="278"/>
      <x:c r="L50" s="278"/>
    </x:row>
    <x:row r="51">
      <x:c r="A51" s="278"/>
      <x:c r="B51" s="278"/>
      <x:c r="C51" s="278"/>
      <x:c r="D51" s="278"/>
      <x:c r="E51" s="278"/>
      <x:c r="F51" s="278"/>
      <x:c r="G51" s="278"/>
      <x:c r="H51" s="278"/>
      <x:c r="I51" s="278"/>
      <x:c r="J51" s="278"/>
      <x:c r="K51" s="278"/>
      <x:c r="L51" s="278"/>
    </x:row>
    <x:row r="52">
      <x:c r="A52" s="278"/>
      <x:c r="B52" s="278"/>
      <x:c r="C52" s="278"/>
      <x:c r="D52" s="278"/>
      <x:c r="E52" s="278"/>
      <x:c r="F52" s="278"/>
      <x:c r="G52" s="278"/>
      <x:c r="H52" s="278"/>
      <x:c r="I52" s="278"/>
      <x:c r="J52" s="278"/>
      <x:c r="K52" s="278"/>
      <x:c r="L52" s="278"/>
    </x:row>
    <x:row r="53">
      <x:c r="A53" s="278"/>
      <x:c r="B53" s="278"/>
      <x:c r="C53" s="278"/>
      <x:c r="D53" s="278"/>
      <x:c r="E53" s="278"/>
      <x:c r="F53" s="278"/>
      <x:c r="G53" s="278"/>
      <x:c r="H53" s="278"/>
      <x:c r="I53" s="278"/>
      <x:c r="J53" s="278"/>
      <x:c r="K53" s="278"/>
      <x:c r="L53" s="278"/>
    </x:row>
    <x:row r="54">
      <x:c r="A54" s="278"/>
      <x:c r="B54" s="278"/>
      <x:c r="C54" s="278"/>
      <x:c r="D54" s="278"/>
      <x:c r="E54" s="278"/>
      <x:c r="F54" s="278"/>
      <x:c r="G54" s="278"/>
      <x:c r="H54" s="278"/>
      <x:c r="I54" s="278"/>
      <x:c r="J54" s="278"/>
      <x:c r="K54" s="278"/>
      <x:c r="L54" s="278"/>
    </x:row>
    <x:row r="55">
      <x:c r="A55" s="278"/>
      <x:c r="B55" s="278"/>
      <x:c r="C55" s="278"/>
      <x:c r="D55" s="278"/>
      <x:c r="E55" s="278"/>
      <x:c r="F55" s="278"/>
      <x:c r="G55" s="278"/>
      <x:c r="H55" s="278"/>
      <x:c r="I55" s="278"/>
      <x:c r="J55" s="278"/>
      <x:c r="K55" s="278"/>
      <x:c r="L55" s="278"/>
    </x:row>
    <x:row r="56">
      <x:c r="A56" s="278"/>
      <x:c r="B56" s="278"/>
      <x:c r="C56" s="278"/>
      <x:c r="D56" s="278"/>
      <x:c r="E56" s="278"/>
      <x:c r="F56" s="278"/>
      <x:c r="G56" s="278"/>
      <x:c r="H56" s="278"/>
      <x:c r="I56" s="278"/>
      <x:c r="J56" s="278"/>
      <x:c r="K56" s="278"/>
      <x:c r="L56" s="278"/>
    </x:row>
    <x:row r="57">
      <x:c r="A57" s="278"/>
      <x:c r="B57" s="278"/>
      <x:c r="C57" s="278"/>
      <x:c r="D57" s="278"/>
      <x:c r="E57" s="278"/>
      <x:c r="F57" s="278"/>
      <x:c r="G57" s="278"/>
      <x:c r="H57" s="278"/>
      <x:c r="I57" s="278"/>
      <x:c r="J57" s="278"/>
      <x:c r="K57" s="278"/>
      <x:c r="L57" s="278"/>
    </x:row>
    <x:row r="58">
      <x:c r="A58" s="278"/>
      <x:c r="B58" s="278"/>
      <x:c r="C58" s="278"/>
      <x:c r="D58" s="278"/>
      <x:c r="E58" s="278"/>
      <x:c r="F58" s="278"/>
      <x:c r="G58" s="278"/>
      <x:c r="H58" s="278"/>
      <x:c r="I58" s="278"/>
      <x:c r="J58" s="278"/>
      <x:c r="K58" s="278"/>
      <x:c r="L58" s="278"/>
    </x:row>
    <x:row r="59">
      <x:c r="A59" s="278"/>
      <x:c r="B59" s="278"/>
      <x:c r="C59" s="278"/>
      <x:c r="D59" s="278"/>
      <x:c r="E59" s="278"/>
      <x:c r="F59" s="278"/>
      <x:c r="G59" s="278"/>
      <x:c r="H59" s="278"/>
      <x:c r="I59" s="278"/>
      <x:c r="J59" s="278"/>
      <x:c r="K59" s="278"/>
      <x:c r="L59" s="278"/>
    </x:row>
    <x:row r="60">
      <x:c r="A60" s="278"/>
      <x:c r="B60" s="278"/>
      <x:c r="C60" s="278"/>
      <x:c r="D60" s="278"/>
      <x:c r="E60" s="278"/>
      <x:c r="F60" s="278"/>
      <x:c r="G60" s="278"/>
      <x:c r="H60" s="278"/>
      <x:c r="I60" s="278"/>
      <x:c r="J60" s="278"/>
      <x:c r="K60" s="278"/>
      <x:c r="L60" s="278"/>
    </x:row>
  </x:sheetData>
  <x:mergeCells>
    <x:mergeCell ref="E8:H8"/>
    <x:mergeCell ref="E9:H12"/>
    <x:mergeCell ref="A1:L1"/>
    <x:mergeCell ref="A2:L2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  <x:mergeCell ref="K8:L8"/>
    <x:mergeCell ref="K9:L13"/>
  </x:mergeCells>
  <x:pageMargins left="0.7" right="0.7" top="0.75" bottom="0.75" header="0.3" footer="0.3"/>
  <x:drawing xmlns:r="http://schemas.openxmlformats.org/officeDocument/2006/relationships" r:id="R66991879d6d2420a"/>
</x:worksheet>
</file>